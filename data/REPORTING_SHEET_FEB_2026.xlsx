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oriokie/treasury/data/"/>
    </mc:Choice>
  </mc:AlternateContent>
  <xr:revisionPtr revIDLastSave="0" documentId="13_ncr:1_{7060E17F-6780-A84E-BB59-2ACF23F0C106}" xr6:coauthVersionLast="47" xr6:coauthVersionMax="47" xr10:uidLastSave="{00000000-0000-0000-0000-000000000000}"/>
  <bookViews>
    <workbookView xWindow="0" yWindow="620" windowWidth="28800" windowHeight="16060" tabRatio="500" activeTab="9" xr2:uid="{00000000-000D-0000-FFFF-FFFF00000000}"/>
  </bookViews>
  <sheets>
    <sheet name="OFFERING SUMMARY" sheetId="1" r:id="rId1"/>
    <sheet name="4TH MARCH 2023" sheetId="2" state="hidden" r:id="rId2"/>
    <sheet name="4TH-EXPENSES" sheetId="3" state="hidden" r:id="rId3"/>
    <sheet name="11TH MARCH 2023" sheetId="4" state="hidden" r:id="rId4"/>
    <sheet name="11TH-EXPENSES" sheetId="5" state="hidden" r:id="rId5"/>
    <sheet name="18TH MARCH 2023" sheetId="6" state="hidden" r:id="rId6"/>
    <sheet name="18TH-EXPENSES" sheetId="7" state="hidden" r:id="rId7"/>
    <sheet name="25TH MARCH 2023" sheetId="8" state="hidden" r:id="rId8"/>
    <sheet name="SABBATH 1" sheetId="20" r:id="rId9"/>
    <sheet name="SABBATH 2" sheetId="21" r:id="rId10"/>
    <sheet name="SABBAATH 3" sheetId="22" r:id="rId11"/>
    <sheet name="SABBATH 4" sheetId="23" r:id="rId12"/>
    <sheet name="Sheet2" sheetId="19" state="hidden" r:id="rId13"/>
    <sheet name="25TH-EXPENSES" sheetId="14" state="hidden" r:id="rId14"/>
  </sheets>
  <definedNames>
    <definedName name="_xlnm._FilterDatabase" localSheetId="10" hidden="1">'SABBAATH 3'!$H$1:$H$141</definedName>
    <definedName name="_xlnm._FilterDatabase" localSheetId="8" hidden="1">'SABBATH 1'!$H$2:$H$192</definedName>
    <definedName name="_xlnm._FilterDatabase" localSheetId="9" hidden="1">'SABBATH 2'!$H$1:$H$177</definedName>
    <definedName name="_xlnm._FilterDatabase" localSheetId="11" hidden="1">'SABBATH 4'!$H$2:$H$170</definedName>
    <definedName name="_xlnm.Print_Titles" localSheetId="10">'SABBAATH 3'!$2:$2</definedName>
    <definedName name="_xlnm.Print_Titles" localSheetId="8">'SABBATH 1'!$2:$2</definedName>
    <definedName name="_xlnm.Print_Titles" localSheetId="9">'SABBATH 2'!$2:$2</definedName>
    <definedName name="_xlnm.Print_Titles" localSheetId="11">'SABBATH 4'!$2:$2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77" i="23"/>
  <c r="L78" i="23"/>
  <c r="L79" i="23"/>
  <c r="L80" i="23"/>
  <c r="L81" i="23"/>
  <c r="L82" i="23"/>
  <c r="L83" i="23"/>
  <c r="L84" i="23"/>
  <c r="L85" i="23"/>
  <c r="L86" i="23"/>
  <c r="L87" i="23"/>
  <c r="L88" i="23"/>
  <c r="L89" i="23"/>
  <c r="L90" i="23"/>
  <c r="L91" i="23"/>
  <c r="L92" i="23"/>
  <c r="L93" i="23"/>
  <c r="L94" i="23"/>
  <c r="L95" i="23"/>
  <c r="L96" i="23"/>
  <c r="L97" i="23"/>
  <c r="L98" i="23"/>
  <c r="L99" i="23"/>
  <c r="L102" i="23"/>
  <c r="L103" i="23"/>
  <c r="L104" i="23"/>
  <c r="L105" i="23"/>
  <c r="L106" i="23"/>
  <c r="L107" i="23"/>
  <c r="L108" i="23"/>
  <c r="L109" i="23"/>
  <c r="L110" i="23"/>
  <c r="L111" i="23"/>
  <c r="L112" i="23"/>
  <c r="L113" i="23"/>
  <c r="L114" i="23"/>
  <c r="L115" i="23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3" i="23"/>
  <c r="I8" i="1"/>
  <c r="D152" i="21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3" i="20"/>
  <c r="D10" i="1"/>
  <c r="F21" i="1"/>
  <c r="K115" i="22"/>
  <c r="B174" i="20"/>
  <c r="K155" i="20"/>
  <c r="C174" i="20" s="1"/>
  <c r="D20" i="1" s="1"/>
  <c r="D17" i="1"/>
  <c r="L167" i="20"/>
  <c r="L166" i="20"/>
  <c r="L165" i="20"/>
  <c r="L164" i="20"/>
  <c r="L163" i="20"/>
  <c r="L162" i="20"/>
  <c r="L161" i="20"/>
  <c r="L160" i="20"/>
  <c r="L159" i="20"/>
  <c r="L157" i="20"/>
  <c r="L156" i="20"/>
  <c r="L114" i="22"/>
  <c r="F152" i="21"/>
  <c r="G152" i="21"/>
  <c r="H152" i="21"/>
  <c r="C169" i="21" s="1"/>
  <c r="I152" i="21"/>
  <c r="C170" i="21" s="1"/>
  <c r="J152" i="21"/>
  <c r="C160" i="21" s="1"/>
  <c r="K152" i="21"/>
  <c r="E11" i="1" s="1"/>
  <c r="E20" i="1"/>
  <c r="L152" i="21"/>
  <c r="C174" i="21" s="1"/>
  <c r="E21" i="1" s="1"/>
  <c r="E152" i="21"/>
  <c r="D101" i="23"/>
  <c r="K100" i="23"/>
  <c r="L100" i="23" s="1"/>
  <c r="D155" i="20"/>
  <c r="L170" i="20"/>
  <c r="D11" i="1"/>
  <c r="C172" i="21" l="1"/>
  <c r="I21" i="1"/>
  <c r="I20" i="1"/>
  <c r="C167" i="21"/>
  <c r="F101" i="23"/>
  <c r="C107" i="23" s="1"/>
  <c r="G101" i="23"/>
  <c r="C108" i="23" s="1"/>
  <c r="H101" i="23"/>
  <c r="I101" i="23"/>
  <c r="J101" i="23"/>
  <c r="C109" i="23" s="1"/>
  <c r="E101" i="23"/>
  <c r="C106" i="23" s="1"/>
  <c r="D115" i="22"/>
  <c r="E19" i="1" l="1"/>
  <c r="E115" i="22" l="1"/>
  <c r="F115" i="22"/>
  <c r="G115" i="22"/>
  <c r="H115" i="22"/>
  <c r="I115" i="22"/>
  <c r="J115" i="22"/>
  <c r="C123" i="22" s="1"/>
  <c r="L115" i="22" l="1"/>
  <c r="C131" i="22"/>
  <c r="C130" i="22"/>
  <c r="F19" i="1" l="1"/>
  <c r="E10" i="1"/>
  <c r="G11" i="1" l="1"/>
  <c r="K101" i="23"/>
  <c r="L101" i="23" s="1"/>
  <c r="E17" i="1"/>
  <c r="H155" i="20"/>
  <c r="I155" i="20"/>
  <c r="J155" i="20"/>
  <c r="I19" i="1" l="1"/>
  <c r="E18" i="1" l="1"/>
  <c r="E16" i="1"/>
  <c r="E15" i="1"/>
  <c r="E155" i="20"/>
  <c r="C115" i="23"/>
  <c r="C118" i="23"/>
  <c r="G18" i="1" s="1"/>
  <c r="C119" i="23"/>
  <c r="G16" i="1" s="1"/>
  <c r="C116" i="23"/>
  <c r="G15" i="1" s="1"/>
  <c r="G17" i="1"/>
  <c r="I17" i="1" s="1"/>
  <c r="G10" i="1"/>
  <c r="F10" i="1"/>
  <c r="I10" i="1" s="1"/>
  <c r="C132" i="22"/>
  <c r="F18" i="1" s="1"/>
  <c r="C134" i="22"/>
  <c r="F11" i="1"/>
  <c r="I11" i="1" s="1"/>
  <c r="C172" i="20"/>
  <c r="D18" i="1" s="1"/>
  <c r="I18" i="1" s="1"/>
  <c r="E4" i="1"/>
  <c r="F4" i="1" s="1"/>
  <c r="G4" i="1" s="1"/>
  <c r="C173" i="20"/>
  <c r="D16" i="1" s="1"/>
  <c r="F155" i="20"/>
  <c r="G155" i="20"/>
  <c r="H13" i="19"/>
  <c r="H16" i="19" s="1"/>
  <c r="E21" i="14"/>
  <c r="R81" i="8"/>
  <c r="C101" i="8" s="1"/>
  <c r="Q81" i="8"/>
  <c r="C91" i="8"/>
  <c r="P81" i="8"/>
  <c r="O81" i="8"/>
  <c r="N81" i="8"/>
  <c r="M81" i="8"/>
  <c r="C100" i="8"/>
  <c r="L81" i="8"/>
  <c r="C98" i="8"/>
  <c r="K81" i="8"/>
  <c r="C90" i="8"/>
  <c r="J81" i="8"/>
  <c r="C89" i="8" s="1"/>
  <c r="C97" i="8"/>
  <c r="I81" i="8"/>
  <c r="C102" i="8"/>
  <c r="H81" i="8"/>
  <c r="C99" i="8"/>
  <c r="G81" i="8"/>
  <c r="C88" i="8"/>
  <c r="F81" i="8"/>
  <c r="C87" i="8"/>
  <c r="C92" i="8" s="1"/>
  <c r="E81" i="8"/>
  <c r="S81" i="8" s="1"/>
  <c r="D83" i="8" s="1"/>
  <c r="C86" i="8"/>
  <c r="D81" i="8"/>
  <c r="E21" i="7"/>
  <c r="R71" i="6"/>
  <c r="Q71" i="6"/>
  <c r="C81" i="6" s="1"/>
  <c r="P71" i="6"/>
  <c r="O71" i="6"/>
  <c r="N71" i="6"/>
  <c r="C92" i="6" s="1"/>
  <c r="M71" i="6"/>
  <c r="C91" i="6"/>
  <c r="L71" i="6"/>
  <c r="C88" i="6"/>
  <c r="K71" i="6"/>
  <c r="C80" i="6" s="1"/>
  <c r="J71" i="6"/>
  <c r="C87" i="6" s="1"/>
  <c r="I71" i="6"/>
  <c r="C90" i="6"/>
  <c r="H71" i="6"/>
  <c r="C89" i="6"/>
  <c r="G71" i="6"/>
  <c r="S71" i="6" s="1"/>
  <c r="D73" i="6" s="1"/>
  <c r="C78" i="6"/>
  <c r="F71" i="6"/>
  <c r="C77" i="6" s="1"/>
  <c r="E71" i="6"/>
  <c r="C76" i="6" s="1"/>
  <c r="C82" i="6" s="1"/>
  <c r="D71" i="6"/>
  <c r="C5" i="6"/>
  <c r="C6" i="6"/>
  <c r="C7" i="6"/>
  <c r="C8" i="6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E21" i="5"/>
  <c r="R203" i="4"/>
  <c r="Q203" i="4"/>
  <c r="C213" i="4" s="1"/>
  <c r="P203" i="4"/>
  <c r="C222" i="4"/>
  <c r="O203" i="4"/>
  <c r="N203" i="4"/>
  <c r="C221" i="4"/>
  <c r="M203" i="4"/>
  <c r="C220" i="4"/>
  <c r="L203" i="4"/>
  <c r="C224" i="4"/>
  <c r="K203" i="4"/>
  <c r="C212" i="4"/>
  <c r="J203" i="4"/>
  <c r="C211" i="4" s="1"/>
  <c r="C219" i="4"/>
  <c r="I203" i="4"/>
  <c r="C223" i="4"/>
  <c r="H203" i="4"/>
  <c r="C225" i="4"/>
  <c r="G203" i="4"/>
  <c r="C210" i="4"/>
  <c r="F203" i="4"/>
  <c r="C217" i="4" s="1"/>
  <c r="C226" i="4" s="1"/>
  <c r="C209" i="4"/>
  <c r="E203" i="4"/>
  <c r="D203" i="4"/>
  <c r="E21" i="3"/>
  <c r="R90" i="2"/>
  <c r="C112" i="2"/>
  <c r="Q90" i="2"/>
  <c r="C100" i="2"/>
  <c r="P90" i="2"/>
  <c r="O90" i="2"/>
  <c r="C110" i="2"/>
  <c r="N90" i="2"/>
  <c r="C109" i="2"/>
  <c r="M90" i="2"/>
  <c r="C113" i="2"/>
  <c r="L90" i="2"/>
  <c r="K90" i="2"/>
  <c r="C99" i="2" s="1"/>
  <c r="C107" i="2"/>
  <c r="J90" i="2"/>
  <c r="C106" i="2" s="1"/>
  <c r="I90" i="2"/>
  <c r="C111" i="2"/>
  <c r="H90" i="2"/>
  <c r="C108" i="2"/>
  <c r="G90" i="2"/>
  <c r="C97" i="2"/>
  <c r="F90" i="2"/>
  <c r="C96" i="2" s="1"/>
  <c r="E90" i="2"/>
  <c r="S90" i="2" s="1"/>
  <c r="C95" i="2"/>
  <c r="D90" i="2"/>
  <c r="E92" i="2" s="1"/>
  <c r="C79" i="6"/>
  <c r="C85" i="6"/>
  <c r="C208" i="4"/>
  <c r="C214" i="4" s="1"/>
  <c r="C95" i="8"/>
  <c r="L155" i="20" l="1"/>
  <c r="L171" i="20"/>
  <c r="C94" i="6"/>
  <c r="C104" i="8"/>
  <c r="S203" i="4"/>
  <c r="D205" i="4" s="1"/>
  <c r="C104" i="2"/>
  <c r="C114" i="2" s="1"/>
  <c r="C98" i="2"/>
  <c r="C101" i="2" s="1"/>
  <c r="F16" i="1"/>
  <c r="I16" i="1" s="1"/>
  <c r="C160" i="20"/>
  <c r="D5" i="1" s="1"/>
  <c r="G14" i="1"/>
  <c r="G22" i="1" s="1"/>
  <c r="G9" i="1"/>
  <c r="G5" i="1"/>
  <c r="C122" i="22"/>
  <c r="C121" i="22"/>
  <c r="C120" i="22"/>
  <c r="C159" i="21"/>
  <c r="E9" i="1" s="1"/>
  <c r="C166" i="21"/>
  <c r="C175" i="21" s="1"/>
  <c r="C158" i="21"/>
  <c r="E6" i="1" s="1"/>
  <c r="C157" i="21"/>
  <c r="E5" i="1" s="1"/>
  <c r="C163" i="20"/>
  <c r="D7" i="1" s="1"/>
  <c r="C162" i="20"/>
  <c r="D9" i="1" s="1"/>
  <c r="C169" i="20"/>
  <c r="D14" i="1" s="1"/>
  <c r="C161" i="20"/>
  <c r="D6" i="1" s="1"/>
  <c r="C170" i="20"/>
  <c r="D15" i="1" s="1"/>
  <c r="G6" i="1"/>
  <c r="G7" i="1"/>
  <c r="C129" i="22"/>
  <c r="F14" i="1" s="1"/>
  <c r="F15" i="1"/>
  <c r="I15" i="1" l="1"/>
  <c r="F22" i="1"/>
  <c r="D12" i="1"/>
  <c r="D22" i="1"/>
  <c r="D24" i="1" s="1"/>
  <c r="E14" i="1"/>
  <c r="E7" i="1"/>
  <c r="F9" i="1"/>
  <c r="I9" i="1" s="1"/>
  <c r="F7" i="1"/>
  <c r="F6" i="1"/>
  <c r="I6" i="1" s="1"/>
  <c r="C176" i="20"/>
  <c r="C123" i="23"/>
  <c r="C126" i="22"/>
  <c r="F5" i="1"/>
  <c r="I5" i="1" s="1"/>
  <c r="C166" i="20"/>
  <c r="G12" i="1"/>
  <c r="C112" i="23"/>
  <c r="C136" i="22"/>
  <c r="C163" i="21"/>
  <c r="I7" i="1" l="1"/>
  <c r="I12" i="1" s="1"/>
  <c r="E22" i="1"/>
  <c r="I14" i="1"/>
  <c r="D158" i="20"/>
  <c r="E12" i="1"/>
  <c r="E24" i="1" s="1"/>
  <c r="C139" i="22"/>
  <c r="F12" i="1"/>
  <c r="G24" i="1"/>
  <c r="F24" i="1" l="1"/>
  <c r="I22" i="1" l="1"/>
  <c r="H22" i="1"/>
  <c r="H24" i="1" l="1"/>
  <c r="I24" i="1" s="1"/>
</calcChain>
</file>

<file path=xl/sharedStrings.xml><?xml version="1.0" encoding="utf-8"?>
<sst xmlns="http://schemas.openxmlformats.org/spreadsheetml/2006/main" count="1283" uniqueCount="807">
  <si>
    <t xml:space="preserve"> </t>
  </si>
  <si>
    <t>SDA CHURCH KAHAWA WENDANI</t>
  </si>
  <si>
    <t>COLLECTION SUMMARY FROM 7 FEB 2026 TO 28TH FEB 2026</t>
  </si>
  <si>
    <t>TOTAL</t>
  </si>
  <si>
    <t>TITHE</t>
  </si>
  <si>
    <t>COMBINED OFFERING 50%</t>
  </si>
  <si>
    <t>THANKS GIVING 50%</t>
  </si>
  <si>
    <t>13TH SABBATH OFFERING</t>
  </si>
  <si>
    <t>CAMP OFFERING</t>
  </si>
  <si>
    <t>STATION DEVELOPMENT</t>
  </si>
  <si>
    <t>FIELD EVANGELISM</t>
  </si>
  <si>
    <t>TOTAL TRUST FUNDS</t>
  </si>
  <si>
    <t>CHURCH BUDGET</t>
  </si>
  <si>
    <t>EVANGELISM  LOCAL</t>
  </si>
  <si>
    <t>DEVELOPMENT</t>
  </si>
  <si>
    <t>SABBATH SCHOOL</t>
  </si>
  <si>
    <t>PATHFINDER REG</t>
  </si>
  <si>
    <t>MSAMARIA</t>
  </si>
  <si>
    <t>TOTAL CHURCH FUNDS</t>
  </si>
  <si>
    <t>TOTAL COLLECTION</t>
  </si>
  <si>
    <t>TREASURER:</t>
  </si>
  <si>
    <t>EDWIN K. ORIOKI</t>
  </si>
  <si>
    <t>ELDER:</t>
  </si>
  <si>
    <t>CALVINCE OUMA</t>
  </si>
  <si>
    <t>PASTOR:</t>
  </si>
  <si>
    <t>MACJOE MASESI</t>
  </si>
  <si>
    <t xml:space="preserve">SIGNATURE:
</t>
  </si>
  <si>
    <t>SIGNATURE:</t>
  </si>
  <si>
    <t xml:space="preserve">DATE: </t>
  </si>
  <si>
    <t>DATE:</t>
  </si>
  <si>
    <t>TREASURERS CASH STATEMENT, 4TH MARCH 2023</t>
  </si>
  <si>
    <t>Date</t>
  </si>
  <si>
    <t>Contributor Name</t>
  </si>
  <si>
    <t>Receipt  Number</t>
  </si>
  <si>
    <t>Total Amount</t>
  </si>
  <si>
    <t>Tithe</t>
  </si>
  <si>
    <t>Combined Offerings</t>
  </si>
  <si>
    <t>Camp Meeting</t>
  </si>
  <si>
    <t>Church Building Fund</t>
  </si>
  <si>
    <t>Local Church Budget</t>
  </si>
  <si>
    <t>Thanks Giving</t>
  </si>
  <si>
    <t>Evangelism-Field</t>
  </si>
  <si>
    <t>Evangelism-local</t>
  </si>
  <si>
    <t>Chairs</t>
  </si>
  <si>
    <t>GYD</t>
  </si>
  <si>
    <t>Sabbath School</t>
  </si>
  <si>
    <t>Master Guide</t>
  </si>
  <si>
    <t>Station Dev. Fund</t>
  </si>
  <si>
    <t>Adventist Possibility Ministry (APM)</t>
  </si>
  <si>
    <t>KAHAWA SUKARI SDA</t>
  </si>
  <si>
    <t>ZIPPORAH MAIRURA</t>
  </si>
  <si>
    <t>DAMARIS WAMBUI KAMAU</t>
  </si>
  <si>
    <t>ABEDNEGO GWAYA</t>
  </si>
  <si>
    <t>CECILIA ATUTI</t>
  </si>
  <si>
    <t>DR.(MRS.) TERESA NYAMBEGERA</t>
  </si>
  <si>
    <t>CHELSEY KIOKO</t>
  </si>
  <si>
    <t>DENISH OTIENO</t>
  </si>
  <si>
    <t>JACINTA MARUTI</t>
  </si>
  <si>
    <t>JOSEPHINE MORANGA</t>
  </si>
  <si>
    <t>ZAINABU ISRAEL</t>
  </si>
  <si>
    <t>FAITH KORIR</t>
  </si>
  <si>
    <t>MARY MIRINGA</t>
  </si>
  <si>
    <t>BRENDA JUMBE</t>
  </si>
  <si>
    <t>EMILY OYUGI</t>
  </si>
  <si>
    <t>NATHANIEL NYAGOL</t>
  </si>
  <si>
    <t>BETTY MWANGI</t>
  </si>
  <si>
    <t>RAHAB NYAKUNDI</t>
  </si>
  <si>
    <t>BENFILAS JUMA</t>
  </si>
  <si>
    <t>SILAS MBECHE</t>
  </si>
  <si>
    <t>JUSTUS OKENYE</t>
  </si>
  <si>
    <t>MARTHA MAKORI</t>
  </si>
  <si>
    <t>NGIGI KARANJA</t>
  </si>
  <si>
    <t>DOMINIC GICHANA</t>
  </si>
  <si>
    <t>FRIDAH NKUNDA</t>
  </si>
  <si>
    <t>ANNAH OSEBE</t>
  </si>
  <si>
    <t>LILIAN OMBAYE</t>
  </si>
  <si>
    <t>TITUS NDIWA’S FAMILY</t>
  </si>
  <si>
    <t>ADRIELLE CORRIDLO</t>
  </si>
  <si>
    <t>LUCY OMWENO</t>
  </si>
  <si>
    <t>LYDIA MORAA</t>
  </si>
  <si>
    <t>MARTINAH NYAKUNDI</t>
  </si>
  <si>
    <t>NIRAH</t>
  </si>
  <si>
    <t>SARAH OTHOO</t>
  </si>
  <si>
    <t>RAQUEL MODI</t>
  </si>
  <si>
    <t>NO NAME</t>
  </si>
  <si>
    <t>OMBATI WILSON</t>
  </si>
  <si>
    <t>EDWINA NYABUTI</t>
  </si>
  <si>
    <t>LEON MBUGUA</t>
  </si>
  <si>
    <t>MRS. OSORO</t>
  </si>
  <si>
    <t>Isaac Nyantika</t>
  </si>
  <si>
    <t>MAKWORO’S FAMILY</t>
  </si>
  <si>
    <t>JAMES MUGUNDA</t>
  </si>
  <si>
    <t>ERICK NYAMBEGERA</t>
  </si>
  <si>
    <t>ZACHARIAH BOSIRE</t>
  </si>
  <si>
    <t>FAITH OSORO</t>
  </si>
  <si>
    <t>ALLAN KEITH ABONYO</t>
  </si>
  <si>
    <t>WINNIE AKINYI ODUOR</t>
  </si>
  <si>
    <t>ASHLYN BHOKE</t>
  </si>
  <si>
    <t>PERIS ISABOKE</t>
  </si>
  <si>
    <t>DORAH HELLEN ALOO</t>
  </si>
  <si>
    <t>BERNARD OGERO</t>
  </si>
  <si>
    <t>STANLEY MACHARIA</t>
  </si>
  <si>
    <t>LORINE OCHIENG</t>
  </si>
  <si>
    <t>ESTHER MOMANYI</t>
  </si>
  <si>
    <t>GRACE MBANE</t>
  </si>
  <si>
    <t>MICAH MAKWORO</t>
  </si>
  <si>
    <t>ANNAH ANYANGO</t>
  </si>
  <si>
    <t>LUCAS N. NYANGWESO</t>
  </si>
  <si>
    <t>MMICA OTIENO</t>
  </si>
  <si>
    <t>EVANS OGATO</t>
  </si>
  <si>
    <t>KAREN KAUNDA</t>
  </si>
  <si>
    <t>ESTHER N. MIZE</t>
  </si>
  <si>
    <t>MARGARET MOGUSU</t>
  </si>
  <si>
    <t>GEORGE NYAKOE</t>
  </si>
  <si>
    <t>ENOCK KOMBO</t>
  </si>
  <si>
    <t>BETTY BARONGO RATEMO</t>
  </si>
  <si>
    <t>EPHY AWUOR</t>
  </si>
  <si>
    <t>NYAMARI GEKONDE</t>
  </si>
  <si>
    <t>DOROTHY OTHOO</t>
  </si>
  <si>
    <t>SUSAN OTIENDE</t>
  </si>
  <si>
    <t>TONY OCHIENG</t>
  </si>
  <si>
    <t>STEPHEN MOKAYA</t>
  </si>
  <si>
    <t>JOAN MAGETO</t>
  </si>
  <si>
    <t>ALPHONCE MANYONI</t>
  </si>
  <si>
    <t>PAUL KOSKEI</t>
  </si>
  <si>
    <t>NELSON NYAUNDI</t>
  </si>
  <si>
    <t>LINNER LIMO</t>
  </si>
  <si>
    <t>ROSE GEKE</t>
  </si>
  <si>
    <t>KENNEDY KOMBO</t>
  </si>
  <si>
    <t>BENARD KARANJA &amp; FAMILY</t>
  </si>
  <si>
    <t>SUMMARY</t>
  </si>
  <si>
    <t>TRUST FUNDS</t>
  </si>
  <si>
    <t>COMBINED OFFFERING 50%</t>
  </si>
  <si>
    <t>CAMP MEETING OFFERING</t>
  </si>
  <si>
    <t>EVANGELISM FIELD</t>
  </si>
  <si>
    <t>STATION DEV FUND</t>
  </si>
  <si>
    <t>LOCAL CHURCH FUNDS</t>
  </si>
  <si>
    <t>CAMP MEETING EXPENSE</t>
  </si>
  <si>
    <t>EVANGELISM -LOCAL</t>
  </si>
  <si>
    <t>Building/Plot</t>
  </si>
  <si>
    <t>GYD Colletion</t>
  </si>
  <si>
    <t>LCB</t>
  </si>
  <si>
    <t>Adventist Possibility M</t>
  </si>
  <si>
    <t>LOCAL CHURCH -EXPENSES</t>
  </si>
  <si>
    <t>DESCRIPTION</t>
  </si>
  <si>
    <t>DATE</t>
  </si>
  <si>
    <t>AMOUNT</t>
  </si>
  <si>
    <t>Deaconary Funds for March 2023</t>
  </si>
  <si>
    <t>Pr. Facilitation within the week</t>
  </si>
  <si>
    <t>Speaker facilitation-Stewarship week of prayer</t>
  </si>
  <si>
    <t>Additional Lunch for the Funds Drive-Visitors</t>
  </si>
  <si>
    <t>Bulletin Printing (2 sabbaths)</t>
  </si>
  <si>
    <t>TOTALS</t>
  </si>
  <si>
    <t>TREASURERS CASH STATEMENT, 11TH MARCH 2023</t>
  </si>
  <si>
    <t>CHARLES GICHUKI</t>
  </si>
  <si>
    <t>MARTHA BOCHERE</t>
  </si>
  <si>
    <t>LUCAS N. NYAMBEGERA</t>
  </si>
  <si>
    <t>JOSPHAT MAIKARA</t>
  </si>
  <si>
    <t>DAMARIS WWMBUI KAMAU</t>
  </si>
  <si>
    <t>LINET KEMUNTO</t>
  </si>
  <si>
    <t>ACHIENG LENCER</t>
  </si>
  <si>
    <t>ELIZABETH N. KIMONGE</t>
  </si>
  <si>
    <t>SPINGS OGUGU</t>
  </si>
  <si>
    <t>ROSE NYAMAO MAGOMA</t>
  </si>
  <si>
    <t>SHELINE OYOO</t>
  </si>
  <si>
    <t>TAMARA ADHIAMBO</t>
  </si>
  <si>
    <t>MERCYLINE NYANKIRA</t>
  </si>
  <si>
    <t xml:space="preserve">NO NAME </t>
  </si>
  <si>
    <t>JEMMY JAMES</t>
  </si>
  <si>
    <t>EVANS TSOMBE</t>
  </si>
  <si>
    <t>IBRAHIM NYABUTI</t>
  </si>
  <si>
    <t>DORIS NYAMARI</t>
  </si>
  <si>
    <t>JACINTA KIPROP</t>
  </si>
  <si>
    <t>MONYENYE OMBATI</t>
  </si>
  <si>
    <t>EDNAH OBAIGWA</t>
  </si>
  <si>
    <t>DRUSILLA MAKWORO</t>
  </si>
  <si>
    <t>STELLAH MASESE</t>
  </si>
  <si>
    <t>KEFA GEKONDE</t>
  </si>
  <si>
    <t>YABESH KIBAI</t>
  </si>
  <si>
    <t>RHODA NYANDUKO</t>
  </si>
  <si>
    <t>JERIAH OMAO</t>
  </si>
  <si>
    <t>JARED NYAUMA</t>
  </si>
  <si>
    <t>RUTH KWAMBOKA</t>
  </si>
  <si>
    <t>STEPHEN KAMAU</t>
  </si>
  <si>
    <t>CATHERINE KEMUNTO</t>
  </si>
  <si>
    <t>CAROLYN BOSIBORI</t>
  </si>
  <si>
    <t>AYUB NAFTAR</t>
  </si>
  <si>
    <t>NAVEEN KAJI</t>
  </si>
  <si>
    <t>GLADYS AYOT</t>
  </si>
  <si>
    <t>YVONNE KERUBO</t>
  </si>
  <si>
    <t>EILEEN MORAA</t>
  </si>
  <si>
    <t>DAMARIS NYABOKE</t>
  </si>
  <si>
    <t>DOREEN OBENGO</t>
  </si>
  <si>
    <t>FELIX BIRGEN</t>
  </si>
  <si>
    <t>LUCAS K. OMBASA</t>
  </si>
  <si>
    <t>DEBORA</t>
  </si>
  <si>
    <t>MRS. A. OSORO</t>
  </si>
  <si>
    <t>ROSEMARY MANYWANDA</t>
  </si>
  <si>
    <t>JULIE OBARE</t>
  </si>
  <si>
    <t>JENIFFER CHEPCHUMBA</t>
  </si>
  <si>
    <t>CATHERINE KARIUKI</t>
  </si>
  <si>
    <t>ENG. OKOTH</t>
  </si>
  <si>
    <t>TITUS NDIWA</t>
  </si>
  <si>
    <t>LEAH KARIUKI</t>
  </si>
  <si>
    <t>HELLEN OGENCHE</t>
  </si>
  <si>
    <t>ERICK NYAKORA</t>
  </si>
  <si>
    <t>JANE MWANGI</t>
  </si>
  <si>
    <t>MARY GEKONDE</t>
  </si>
  <si>
    <t>DORAH HELLEN AKINYI</t>
  </si>
  <si>
    <t>ROGGERS ABONG’O</t>
  </si>
  <si>
    <t>MERALDA INDA</t>
  </si>
  <si>
    <t>VINCENT ONCHWERI</t>
  </si>
  <si>
    <t>ANN WACHIRA( NYABERI )</t>
  </si>
  <si>
    <t>KEVIN MORANG’A</t>
  </si>
  <si>
    <t>TIMOTHY NYAKUNDI</t>
  </si>
  <si>
    <t>PR. ANTHONY MUTUA</t>
  </si>
  <si>
    <t>ZEPHANIA OCHIKI</t>
  </si>
  <si>
    <t>NEREAH OGETO</t>
  </si>
  <si>
    <t>JOSEPH TAABU</t>
  </si>
  <si>
    <t>SAKINA WESONGA</t>
  </si>
  <si>
    <t>EVANS OTIEENO</t>
  </si>
  <si>
    <t>WENDY AKINYI</t>
  </si>
  <si>
    <t>STEPHEN KIAGO</t>
  </si>
  <si>
    <t>COLLINS MIREGWA</t>
  </si>
  <si>
    <t>MARY ANGWENYI</t>
  </si>
  <si>
    <t xml:space="preserve">CECILIA NYAUMA </t>
  </si>
  <si>
    <t>WILSON OMBATI</t>
  </si>
  <si>
    <t xml:space="preserve">NYANGWARA CLIFFORD </t>
  </si>
  <si>
    <t>JOSPHAT OKWAKO</t>
  </si>
  <si>
    <t>SYLIVIA ABONG’O</t>
  </si>
  <si>
    <t>TABITHA OKOTH</t>
  </si>
  <si>
    <t>SHEILA CHEPTOO</t>
  </si>
  <si>
    <t>JOB BOSIRE</t>
  </si>
  <si>
    <t xml:space="preserve">STELLA NYABOKE </t>
  </si>
  <si>
    <t>DOROTHY NGALA</t>
  </si>
  <si>
    <t>SEREMIAH OMONDI</t>
  </si>
  <si>
    <t>DAMARIS CHEPCHIRCHIR</t>
  </si>
  <si>
    <t>JACINTA MBONE</t>
  </si>
  <si>
    <t>MONICAH OTIENO</t>
  </si>
  <si>
    <t>MEPHIS MACHAKA</t>
  </si>
  <si>
    <t>BENSON MOGAKA</t>
  </si>
  <si>
    <t>RHODA MBECHE</t>
  </si>
  <si>
    <t>RICHARD OKUTOYI</t>
  </si>
  <si>
    <t>VERA WANGA</t>
  </si>
  <si>
    <t>DAVIDSON MORAGE</t>
  </si>
  <si>
    <t>FLORENCE AUMAA</t>
  </si>
  <si>
    <t>GEOFFREY NYANG’AU</t>
  </si>
  <si>
    <t>JOHANNES OKIAMBE</t>
  </si>
  <si>
    <t>OGUCHA GIBSON</t>
  </si>
  <si>
    <t>BERYL BETTY</t>
  </si>
  <si>
    <t>SAMMY SUM</t>
  </si>
  <si>
    <t>EVA ONG’AU</t>
  </si>
  <si>
    <t>DINA NYABONYI</t>
  </si>
  <si>
    <t>LAVETOR OMBOGO</t>
  </si>
  <si>
    <t>TRUPHOSA NYAUTE</t>
  </si>
  <si>
    <t>BEATRICE WANJIKU</t>
  </si>
  <si>
    <t>NAFTALI MANOTI</t>
  </si>
  <si>
    <t>ROSEMARY ACHIENG</t>
  </si>
  <si>
    <t>GEOFFREY NYABERI</t>
  </si>
  <si>
    <t>GLADYS AGOI</t>
  </si>
  <si>
    <t>CHARLES WESONGA</t>
  </si>
  <si>
    <t>VINIC ORINA</t>
  </si>
  <si>
    <t>EPHANTUS WANJIRU</t>
  </si>
  <si>
    <t>BETTY RATEMO</t>
  </si>
  <si>
    <t>BONFACE OSINDI</t>
  </si>
  <si>
    <t>JULIET MORAA</t>
  </si>
  <si>
    <t>JOSPHAT MAIKARA &amp; FAMILY</t>
  </si>
  <si>
    <t>CHAIRS PURCHASE</t>
  </si>
  <si>
    <t>GYD Collection</t>
  </si>
  <si>
    <t>Building Fund/Plot</t>
  </si>
  <si>
    <t>Internet Payment</t>
  </si>
  <si>
    <t>Garbage collection fee (Nov 2022 to Feb 2023)</t>
  </si>
  <si>
    <t>GYD collection Payout</t>
  </si>
  <si>
    <t>GYD Youth Lunch</t>
  </si>
  <si>
    <t>GYD Adventurers Lunch</t>
  </si>
  <si>
    <t>GYD Ambasdors Lunch</t>
  </si>
  <si>
    <t>TREASURERS CASH STATEMENT, 18TH MARCH 2023</t>
  </si>
  <si>
    <t>OBUYA'S FAMILY</t>
  </si>
  <si>
    <t>MR. &amp; MRS. ERICK GWARO</t>
  </si>
  <si>
    <t>CORNELIUS KIPTOO</t>
  </si>
  <si>
    <t>NDIWA'S FAMILY</t>
  </si>
  <si>
    <t>MIRRIAM WEISIKO</t>
  </si>
  <si>
    <t>ZADIAN ANGWENYI</t>
  </si>
  <si>
    <t>JOSEPH MORANGÁ</t>
  </si>
  <si>
    <t>JOSEPHAT NYAGERO</t>
  </si>
  <si>
    <t>ESTHER KWAMBOKA</t>
  </si>
  <si>
    <t>DAMARIS WAMBUI</t>
  </si>
  <si>
    <t>PRINCESS ERICK LUCAS</t>
  </si>
  <si>
    <t>ELIZABETH KIMONGE</t>
  </si>
  <si>
    <t>KAHAWA SUKARI</t>
  </si>
  <si>
    <t>CELESTINE NYANCHAMA</t>
  </si>
  <si>
    <t>JILLANI YAWA</t>
  </si>
  <si>
    <t>VINCENT NGÉNO</t>
  </si>
  <si>
    <t>ERICK GWARO</t>
  </si>
  <si>
    <t>MWITA BHOKE</t>
  </si>
  <si>
    <t>NELLY ORINA</t>
  </si>
  <si>
    <t>SOPHIE BIRONGA</t>
  </si>
  <si>
    <t>CONCHELLA OCHIENG</t>
  </si>
  <si>
    <t>KEVIN MORANG''A</t>
  </si>
  <si>
    <t>CECILIA KEMUNTO</t>
  </si>
  <si>
    <t>APOLLO KARIUKI</t>
  </si>
  <si>
    <t>GLADYS KEBASO</t>
  </si>
  <si>
    <t>FAITH KURIA</t>
  </si>
  <si>
    <t>VINCENT MOGIRE</t>
  </si>
  <si>
    <t>BRIAN OBARE</t>
  </si>
  <si>
    <t>LABAN KIPTOO</t>
  </si>
  <si>
    <t>VIENNA MOENGA</t>
  </si>
  <si>
    <t>PATRICK MARIONYA</t>
  </si>
  <si>
    <t>WENDY MBATA</t>
  </si>
  <si>
    <t>MASESE MONGÍNA</t>
  </si>
  <si>
    <t>CECILIA NYAUMA</t>
  </si>
  <si>
    <t>AMO, ETC</t>
  </si>
  <si>
    <t>Fuel and transport</t>
  </si>
  <si>
    <t>Water Tank Refill (5000L)</t>
  </si>
  <si>
    <t>KPLC Power bill</t>
  </si>
  <si>
    <t>Internet payment</t>
  </si>
  <si>
    <t>TREASURERS CASH STATEMENT, 25TH MARCH 2023</t>
  </si>
  <si>
    <t>Lunch</t>
  </si>
  <si>
    <t>Kahawa Sukari</t>
  </si>
  <si>
    <t>Wilson Ombati</t>
  </si>
  <si>
    <t>Jacinta Maruti</t>
  </si>
  <si>
    <t>Mary Gekonde</t>
  </si>
  <si>
    <t>Monyenye Ombati</t>
  </si>
  <si>
    <t>Eucabeth Mosero</t>
  </si>
  <si>
    <t>Bernad Ondara</t>
  </si>
  <si>
    <t>Josphat Maikara</t>
  </si>
  <si>
    <t>Rahab Nyakundi</t>
  </si>
  <si>
    <t>Yabesh Kibai</t>
  </si>
  <si>
    <t>Denish Otieno</t>
  </si>
  <si>
    <t>Mr &amp; Mrs Eric Gwaro</t>
  </si>
  <si>
    <t>Gakubu Ruth</t>
  </si>
  <si>
    <t>Mr &amp; Mrs Vincent Onchweri</t>
  </si>
  <si>
    <t>Eng Okoth</t>
  </si>
  <si>
    <t>Karen Kaunda</t>
  </si>
  <si>
    <t>No Name</t>
  </si>
  <si>
    <t>Ruth Mining</t>
  </si>
  <si>
    <t>Alphonce Manyoni</t>
  </si>
  <si>
    <t>Mary Miringa</t>
  </si>
  <si>
    <t>Ndiwas</t>
  </si>
  <si>
    <t>Rosemary Manywanda</t>
  </si>
  <si>
    <t>Benfilas Juma</t>
  </si>
  <si>
    <t>Tabitha Akinyi</t>
  </si>
  <si>
    <t>Emelda Vai</t>
  </si>
  <si>
    <t>Lucas Nyangweso</t>
  </si>
  <si>
    <t>Emily Oyugi</t>
  </si>
  <si>
    <t>Evans Ogato</t>
  </si>
  <si>
    <t>Mrs Roggers Abongo</t>
  </si>
  <si>
    <t>Tabitha Onserio</t>
  </si>
  <si>
    <t>Cornelius Kiptoo</t>
  </si>
  <si>
    <t>Elizabeth Kimonge</t>
  </si>
  <si>
    <t>Brenda Jumbe</t>
  </si>
  <si>
    <t>Annah Osebe</t>
  </si>
  <si>
    <t>Ruth Moindi</t>
  </si>
  <si>
    <t>Winnie Akinyi</t>
  </si>
  <si>
    <t>Zadrian Makori</t>
  </si>
  <si>
    <t>Dorothy Ngala</t>
  </si>
  <si>
    <t>Erick Gwaro</t>
  </si>
  <si>
    <t>Stanley Macharia</t>
  </si>
  <si>
    <t>Joan Mageto</t>
  </si>
  <si>
    <t>Drusilla Makworo</t>
  </si>
  <si>
    <t>Dr Mrs Teresa Nyamberegera</t>
  </si>
  <si>
    <t>Paul Otema</t>
  </si>
  <si>
    <t>Margaret Mogusu</t>
  </si>
  <si>
    <t>Kefah Gekonde</t>
  </si>
  <si>
    <t>Abednego Gwaya</t>
  </si>
  <si>
    <t>Linet Kemunto</t>
  </si>
  <si>
    <t>Silas Mbeche</t>
  </si>
  <si>
    <t>Elijah Ateka</t>
  </si>
  <si>
    <t>Christine Achieng</t>
  </si>
  <si>
    <t>Duncan Muthomi</t>
  </si>
  <si>
    <t>Zephania Ochiki</t>
  </si>
  <si>
    <t>Machaka Nyaburi</t>
  </si>
  <si>
    <t>Josphine Moraa Mangoa</t>
  </si>
  <si>
    <t>Micah Makworo</t>
  </si>
  <si>
    <t>Denis Otieno Lango</t>
  </si>
  <si>
    <t>Jane Mwangi</t>
  </si>
  <si>
    <t>Stephene Mokaya</t>
  </si>
  <si>
    <t>Erick Nyakora</t>
  </si>
  <si>
    <t>Lilian Omoke</t>
  </si>
  <si>
    <t>George Nyakoe</t>
  </si>
  <si>
    <t>Varsity Nasungu</t>
  </si>
  <si>
    <t>Tom Machana</t>
  </si>
  <si>
    <t>Cynthia Nyanchera</t>
  </si>
  <si>
    <t>Rose Atieno</t>
  </si>
  <si>
    <t>Julius Otumba</t>
  </si>
  <si>
    <t>Samuel Njunji</t>
  </si>
  <si>
    <t>Gladys Masau</t>
  </si>
  <si>
    <t>Veronicah Nyambura</t>
  </si>
  <si>
    <t>Bernad Ogero</t>
  </si>
  <si>
    <t xml:space="preserve">Nyamari Gekonde </t>
  </si>
  <si>
    <t>Mary Oswald</t>
  </si>
  <si>
    <t>Zainab Israel</t>
  </si>
  <si>
    <t>No</t>
  </si>
  <si>
    <t>CONTRIBUTOR NAME</t>
  </si>
  <si>
    <t>RECEIPT NUMBER</t>
  </si>
  <si>
    <t>COMBINED OFFERINGS</t>
  </si>
  <si>
    <t>CAMP MEETING OFFERINGS</t>
  </si>
  <si>
    <t>CHURCH BUILDING FUND</t>
  </si>
  <si>
    <t>THANKS GIVING</t>
  </si>
  <si>
    <t>WESLEY MATOKE</t>
  </si>
  <si>
    <t>SAMUEL KERAUNI</t>
  </si>
  <si>
    <t>ELVINA BOSIBORI</t>
  </si>
  <si>
    <t>WYCLIFF ONSANGO</t>
  </si>
  <si>
    <t>EMILY MOGAKA</t>
  </si>
  <si>
    <t>MARY KEMUNTO</t>
  </si>
  <si>
    <t>ELIAZAR ONGARA</t>
  </si>
  <si>
    <t>ESTHER MBONE</t>
  </si>
  <si>
    <t>VERONICAH KIMANI</t>
  </si>
  <si>
    <t>FAITH KERUBO</t>
  </si>
  <si>
    <t>JULIET ORURU</t>
  </si>
  <si>
    <t>LAVINA ALELA</t>
  </si>
  <si>
    <t>MARTHA BITENGO</t>
  </si>
  <si>
    <t>ELSA BISIERI OUKO</t>
  </si>
  <si>
    <t>REBECCA OGUTU</t>
  </si>
  <si>
    <t>ALBERT MAINA</t>
  </si>
  <si>
    <t>MANYALA JOHN</t>
  </si>
  <si>
    <t>MILKA NYANJAMA</t>
  </si>
  <si>
    <t>VALLENCY JUSTICE</t>
  </si>
  <si>
    <t>TIMOTHY OMARE</t>
  </si>
  <si>
    <t>JOHNES JUMA</t>
  </si>
  <si>
    <t>JOSEPHINE NYAKOE</t>
  </si>
  <si>
    <t>DANIEL NJOROGE</t>
  </si>
  <si>
    <t>ELIJAH PAPAI</t>
  </si>
  <si>
    <t>MAXWEL ODHIAMBO</t>
  </si>
  <si>
    <t>WILFRED NYAOSI</t>
  </si>
  <si>
    <t>BRIAN OMENYI</t>
  </si>
  <si>
    <t>ERICK OMOSA</t>
  </si>
  <si>
    <t>JOHN MOMANYI</t>
  </si>
  <si>
    <t xml:space="preserve">ELDER OUMA'S FAMILY </t>
  </si>
  <si>
    <t>OTISO MOSES</t>
  </si>
  <si>
    <t>NANCY OBARE</t>
  </si>
  <si>
    <t>ELEN KIMANI</t>
  </si>
  <si>
    <t>JESSA ADHIAMBO</t>
  </si>
  <si>
    <t>SAMUEL OGEMBO</t>
  </si>
  <si>
    <t>CLIFFORD SIOCHA</t>
  </si>
  <si>
    <t>FELIX MUSIU</t>
  </si>
  <si>
    <t>CHERYL ORIOKI</t>
  </si>
  <si>
    <t>BENEDICT ODHIAMBO</t>
  </si>
  <si>
    <t>MIKE MACKEY OUMA</t>
  </si>
  <si>
    <t>ELDER MWATHI</t>
  </si>
  <si>
    <t>LEVINAH WYCKLIFFE</t>
  </si>
  <si>
    <t>CHRISTINE KAWIRA</t>
  </si>
  <si>
    <t>LYTE GLARDEN</t>
  </si>
  <si>
    <t>WANJARA LYDIA</t>
  </si>
  <si>
    <t>DAVID KIPLANGAT</t>
  </si>
  <si>
    <t>BRAVINN ENOCK</t>
  </si>
  <si>
    <t>CALLEN GESARE</t>
  </si>
  <si>
    <t>OLIVENT ANYANGO</t>
  </si>
  <si>
    <t>CECENA JAINE</t>
  </si>
  <si>
    <t>OKINYI ODHIAMBO</t>
  </si>
  <si>
    <t>OCHIENG VICTOR</t>
  </si>
  <si>
    <t>WISSON MARANGU</t>
  </si>
  <si>
    <t>WILLIAM DULO</t>
  </si>
  <si>
    <t>VIOLET JUMA</t>
  </si>
  <si>
    <t>VIOLENE ANDAI</t>
  </si>
  <si>
    <t>SILAS MANYASA</t>
  </si>
  <si>
    <t>SHAFNER NYANGWONO</t>
  </si>
  <si>
    <t>SAMUEL WAITHAKA</t>
  </si>
  <si>
    <t>RUTH MOMANYI</t>
  </si>
  <si>
    <t>MAUREEN NYAMAMBA</t>
  </si>
  <si>
    <t>MARTHA OWANDE</t>
  </si>
  <si>
    <t>MARK NDEGWA</t>
  </si>
  <si>
    <t>ROBBINSON MOKORA</t>
  </si>
  <si>
    <t>PHYLIS KEFA</t>
  </si>
  <si>
    <t>PETER KAIRU</t>
  </si>
  <si>
    <t>OTIENO VIVIAN</t>
  </si>
  <si>
    <t>NAOMI NJUGUNA</t>
  </si>
  <si>
    <t>MIRITA TABITHA</t>
  </si>
  <si>
    <t>MILDRED SHIKUKU</t>
  </si>
  <si>
    <t>MERYL ODERA</t>
  </si>
  <si>
    <t>MERCY GUDA</t>
  </si>
  <si>
    <t>MAYLENE ATUTI</t>
  </si>
  <si>
    <t>RODA NGWATO</t>
  </si>
  <si>
    <t>MERCY AKUONGO</t>
  </si>
  <si>
    <t>LYDIA MOTARI</t>
  </si>
  <si>
    <t xml:space="preserve">LYDIA </t>
  </si>
  <si>
    <t>LEON OCHIENG</t>
  </si>
  <si>
    <t>LAVENDA OPATO</t>
  </si>
  <si>
    <t>JULIET NDUNGU</t>
  </si>
  <si>
    <t>GROUP 41</t>
  </si>
  <si>
    <t>DISMUSS NDUKO - 32</t>
  </si>
  <si>
    <t>BILHA KWAMBOKA - 32</t>
  </si>
  <si>
    <t>GEKOMBE RONALD - 9</t>
  </si>
  <si>
    <t>SUSAN MOMANYI - 22</t>
  </si>
  <si>
    <t>DELLEYS NYABOKE</t>
  </si>
  <si>
    <t>ALLAN MOTURO - 40</t>
  </si>
  <si>
    <t>BRAVIN ENOCK</t>
  </si>
  <si>
    <t>SARAH ABAYA</t>
  </si>
  <si>
    <t>EVERYLINE ARIKA</t>
  </si>
  <si>
    <t>ELD REUBEN OGUTU</t>
  </si>
  <si>
    <t>EMMACULATE OCHIENG MIRERI</t>
  </si>
  <si>
    <t>FLORENCE BOCHABERI OMBORI</t>
  </si>
  <si>
    <t>AMAYA OROTO</t>
  </si>
  <si>
    <t>FRED SIMON MWATHI</t>
  </si>
  <si>
    <t>GLADYS MOGOI</t>
  </si>
  <si>
    <t>CAROLINE JEMUTAI - 19</t>
  </si>
  <si>
    <t>KENNEDY AKETCH - 10</t>
  </si>
  <si>
    <t>CALLEN AKAMA - 31</t>
  </si>
  <si>
    <t>BEATRICE AWUOR - 10</t>
  </si>
  <si>
    <t>KIM - 14</t>
  </si>
  <si>
    <t>REVINA WYCLIFFE - 14</t>
  </si>
  <si>
    <t>ALBERT MAINA - 33</t>
  </si>
  <si>
    <t>IRENE VARSHITY - 11</t>
  </si>
  <si>
    <t>MILKA NYANCHAMA - 30</t>
  </si>
  <si>
    <t>GROUP 40</t>
  </si>
  <si>
    <t xml:space="preserve">SIAMBE FREDRICK </t>
  </si>
  <si>
    <t>EDWIN ODHIAMBO</t>
  </si>
  <si>
    <t>JANE NYAMONGO</t>
  </si>
  <si>
    <t>WINFRED OKELO</t>
  </si>
  <si>
    <t>MILKA MAGARA JOSEPH</t>
  </si>
  <si>
    <t>STEPHEN OUNA SHIKUKU</t>
  </si>
  <si>
    <t xml:space="preserve">PHILUS MOGERE </t>
  </si>
  <si>
    <t>ROBINAH MANUGUTI</t>
  </si>
  <si>
    <t>GILBERT SHIKUKU</t>
  </si>
  <si>
    <t>JOSEPH OSORO</t>
  </si>
  <si>
    <t>ZIPORRAH - 27</t>
  </si>
  <si>
    <t>NANCY MAKORI</t>
  </si>
  <si>
    <t>JOSEPH NGWATO</t>
  </si>
  <si>
    <t>JOHN MANGUTI</t>
  </si>
  <si>
    <t>JENIFFER JAMES</t>
  </si>
  <si>
    <t>JANET MAVUNGA</t>
  </si>
  <si>
    <t>GOULDAH MBYUTA</t>
  </si>
  <si>
    <t>GIFTMACVANE MOMANYI</t>
  </si>
  <si>
    <t>GEOFFREY MAINA</t>
  </si>
  <si>
    <t>GEOFFREY OTIENO</t>
  </si>
  <si>
    <t>FELIX ONYANGO</t>
  </si>
  <si>
    <t>EVELYNE OKUMU</t>
  </si>
  <si>
    <t>ELVIS NDUBI</t>
  </si>
  <si>
    <t>ELIJAH ROY</t>
  </si>
  <si>
    <t>DORCAS MOGAYA</t>
  </si>
  <si>
    <t>DIANA ABOKI</t>
  </si>
  <si>
    <t>DEBORAH JUMA</t>
  </si>
  <si>
    <t>DAVIS MIRONGA</t>
  </si>
  <si>
    <t>PURITY JOHN</t>
  </si>
  <si>
    <t>JOSHUA OCHANGE</t>
  </si>
  <si>
    <t>DAVID NYAUNDI</t>
  </si>
  <si>
    <t>CYNTHIA HUDSON</t>
  </si>
  <si>
    <t>CHERYL OTIENO</t>
  </si>
  <si>
    <t>BILLY ALUGA</t>
  </si>
  <si>
    <t>BERYL ORIMBA</t>
  </si>
  <si>
    <t>ADRIENNE OGONYO</t>
  </si>
  <si>
    <t>AWINO ASENATH</t>
  </si>
  <si>
    <t>ANDREW WAMBURA</t>
  </si>
  <si>
    <t>ELIUD KORIR</t>
  </si>
  <si>
    <t xml:space="preserve">                                </t>
  </si>
  <si>
    <t>BUILDING/PLOT</t>
  </si>
  <si>
    <t>TREASURERS CASH STATEMENT 14 FEB 2026</t>
  </si>
  <si>
    <t>TOTAL AMOUNT</t>
  </si>
  <si>
    <t>EVANGELISM LOCAL</t>
  </si>
  <si>
    <t xml:space="preserve">DAMARIS </t>
  </si>
  <si>
    <t>EMMACULATE OCHIENG</t>
  </si>
  <si>
    <t>EVERLYNE ARIKA</t>
  </si>
  <si>
    <t>WINNNIE REBECCA</t>
  </si>
  <si>
    <t>ROGERS MACHOKA</t>
  </si>
  <si>
    <t>ETHAN AND ADRIEL</t>
  </si>
  <si>
    <t>GRACE OGOLA</t>
  </si>
  <si>
    <t>SHERYL M</t>
  </si>
  <si>
    <t>SHANTELLE MUMBO</t>
  </si>
  <si>
    <t>LENCER OKWAH</t>
  </si>
  <si>
    <t>ROSELYNE AOKO</t>
  </si>
  <si>
    <t>JANICE CHAYA</t>
  </si>
  <si>
    <t>KENNEDY AKECH</t>
  </si>
  <si>
    <t>BEAUTTAH NYAUMA</t>
  </si>
  <si>
    <t>ADHER BITUTU</t>
  </si>
  <si>
    <t xml:space="preserve">LAVINA ALELA </t>
  </si>
  <si>
    <t>ELD. JAMES MIRERI</t>
  </si>
  <si>
    <t>NANCY OSORO</t>
  </si>
  <si>
    <t>NYABUTO OONGE</t>
  </si>
  <si>
    <t>JUDITH ODOYO</t>
  </si>
  <si>
    <t>JEMIMAH NYOLOO</t>
  </si>
  <si>
    <t>SAMSON NYARERU</t>
  </si>
  <si>
    <t>NAOMI KWAMBOKA</t>
  </si>
  <si>
    <t xml:space="preserve">LINET MAGETO </t>
  </si>
  <si>
    <t>LAVINAH WYCLIFFE</t>
  </si>
  <si>
    <t>COLLINS MBOYA</t>
  </si>
  <si>
    <t>LIAM OROTO</t>
  </si>
  <si>
    <t>LEOMA LIVA</t>
  </si>
  <si>
    <t>KERINA OKUMU</t>
  </si>
  <si>
    <t>MILCAH MOKAMBA</t>
  </si>
  <si>
    <t>JANET KARITHI</t>
  </si>
  <si>
    <t>ELD JAMES MIRERI</t>
  </si>
  <si>
    <t>JANET MORANGA</t>
  </si>
  <si>
    <t>LANCER GANDA</t>
  </si>
  <si>
    <t xml:space="preserve">KIPTOO STEPHEN </t>
  </si>
  <si>
    <t>LILIAN MOGUTO</t>
  </si>
  <si>
    <t>JOSEPH WANJOHI</t>
  </si>
  <si>
    <t xml:space="preserve">JOHN ONGWESA </t>
  </si>
  <si>
    <t>STANFORD OUMA</t>
  </si>
  <si>
    <t>STEPHEN OGANDA</t>
  </si>
  <si>
    <t>SYDNEY NDLOVU</t>
  </si>
  <si>
    <t xml:space="preserve">TOM BIRUNDU </t>
  </si>
  <si>
    <t>VILET MOGATA</t>
  </si>
  <si>
    <t>VIOLA ABUGA</t>
  </si>
  <si>
    <t>VIVIAN OKUMU</t>
  </si>
  <si>
    <t>WILKISTER MAGARA</t>
  </si>
  <si>
    <t>WINNIE OWITI</t>
  </si>
  <si>
    <t>LYDIA WAMAYI</t>
  </si>
  <si>
    <t>MANDELA AREDHA</t>
  </si>
  <si>
    <t>MARY GITURU</t>
  </si>
  <si>
    <t>MAUREEN NABISWA</t>
  </si>
  <si>
    <t>MELVIN SIBWOGA</t>
  </si>
  <si>
    <t xml:space="preserve">MWITA JARED </t>
  </si>
  <si>
    <t>NORAH NYAGWOKA</t>
  </si>
  <si>
    <t xml:space="preserve">OCHIENG VICTOR </t>
  </si>
  <si>
    <t>PENINAH KERUBO</t>
  </si>
  <si>
    <t xml:space="preserve">PURITY JOHN </t>
  </si>
  <si>
    <t>RISPA OENGA</t>
  </si>
  <si>
    <t>SETH MUNENE</t>
  </si>
  <si>
    <t>CAROLINE AUMA</t>
  </si>
  <si>
    <t>DAMARIS OMBATI</t>
  </si>
  <si>
    <t>HYLINE KERUBO</t>
  </si>
  <si>
    <t>WINNIE MCHANA</t>
  </si>
  <si>
    <t>SHARON ACHIENG NYAMBURI</t>
  </si>
  <si>
    <t xml:space="preserve">JOHNES JUMA </t>
  </si>
  <si>
    <t>JOHNREY OMBATI</t>
  </si>
  <si>
    <t>WINNIE KEMUNTO</t>
  </si>
  <si>
    <t>JOSEPHINE ONTITA</t>
  </si>
  <si>
    <t>ELD DANIEL OMBATI</t>
  </si>
  <si>
    <t xml:space="preserve">OTISO MOSES </t>
  </si>
  <si>
    <t>DOROTHY NYANCHERA</t>
  </si>
  <si>
    <t>BILHA KWAMBOKA</t>
  </si>
  <si>
    <t xml:space="preserve">HELLEN KEMUNTO </t>
  </si>
  <si>
    <t>SUSAN OMETE</t>
  </si>
  <si>
    <t>FRED CARSON O</t>
  </si>
  <si>
    <t>JAMES MICH</t>
  </si>
  <si>
    <t>VINCENT NYAGAKA</t>
  </si>
  <si>
    <t>BEATRICE AWUOR</t>
  </si>
  <si>
    <t>ELD CALVINCE FAMILY</t>
  </si>
  <si>
    <t>FRANCIS DEDE</t>
  </si>
  <si>
    <t>LORINE DEDE</t>
  </si>
  <si>
    <t>SAMUEL ABAYA</t>
  </si>
  <si>
    <t>DISMUS NDUKO</t>
  </si>
  <si>
    <t>JOSEPHINE AYIENDA</t>
  </si>
  <si>
    <t>JANE GATI</t>
  </si>
  <si>
    <t>ELDER NYAMONGO</t>
  </si>
  <si>
    <t>NANCY OTIENO</t>
  </si>
  <si>
    <t>SARAH ACHIENG</t>
  </si>
  <si>
    <t xml:space="preserve">GLORIAH VINCENT N </t>
  </si>
  <si>
    <t>MR GILBERT SHIKUKU</t>
  </si>
  <si>
    <t>ERICK NYAMAMBA</t>
  </si>
  <si>
    <t>BILL OROTO</t>
  </si>
  <si>
    <t>DIVANA NYAKEYO</t>
  </si>
  <si>
    <t>DOROTHY ONDIEKI</t>
  </si>
  <si>
    <t>DUNCAN MOKAYA</t>
  </si>
  <si>
    <t>EDWIN ORIOKI</t>
  </si>
  <si>
    <t>EVANS OWINO</t>
  </si>
  <si>
    <t>EVALINE MAEMBA</t>
  </si>
  <si>
    <t>ELVINE MOKUA</t>
  </si>
  <si>
    <t>FIDEL OLUOCH</t>
  </si>
  <si>
    <t>FLORENCE ACHOKI</t>
  </si>
  <si>
    <t>ERICK KWAMESA</t>
  </si>
  <si>
    <t>FRIDAH KOE</t>
  </si>
  <si>
    <t>HAPPINESS MUKORA</t>
  </si>
  <si>
    <t>HARON MOMANYI</t>
  </si>
  <si>
    <t>HELLEN MONGARE</t>
  </si>
  <si>
    <t>IAN KINGSLEY</t>
  </si>
  <si>
    <t xml:space="preserve">IRENE MIRIOBA </t>
  </si>
  <si>
    <t>HILLARY LANYO</t>
  </si>
  <si>
    <t xml:space="preserve">BEAVON RORI </t>
  </si>
  <si>
    <t>BEAVON OSUMO</t>
  </si>
  <si>
    <t>AWINO NGALO</t>
  </si>
  <si>
    <t>ABEL OJWANG</t>
  </si>
  <si>
    <t xml:space="preserve">BENARD MASARA </t>
  </si>
  <si>
    <t>BETTY KIBEGWA</t>
  </si>
  <si>
    <t>CATHERINE OMWENO</t>
  </si>
  <si>
    <t>CHARLES NDUNGU</t>
  </si>
  <si>
    <t>CLEOPAS OMETE ELD</t>
  </si>
  <si>
    <t xml:space="preserve">CYNTHIA HUCKSON </t>
  </si>
  <si>
    <t>DAVID THIAURI</t>
  </si>
  <si>
    <t>DELICK MORARA</t>
  </si>
  <si>
    <t>DERRICK MLAMBA</t>
  </si>
  <si>
    <t>ELD. ISAAC MOMANYI</t>
  </si>
  <si>
    <t>CAMP MEETING EXPENSES</t>
  </si>
  <si>
    <t>TREASURERS CASH STATEMENT, 21 FEB 2026</t>
  </si>
  <si>
    <t xml:space="preserve">   </t>
  </si>
  <si>
    <t>LOCAL CHURCH BUDGET (LCB)</t>
  </si>
  <si>
    <t>THANKS</t>
  </si>
  <si>
    <t>LYDIAH MOTARI</t>
  </si>
  <si>
    <t>CHRSTINE KAWIRA</t>
  </si>
  <si>
    <t>HELLEN ABUGA</t>
  </si>
  <si>
    <t xml:space="preserve">NZIOKA SAMUEL </t>
  </si>
  <si>
    <t>CHRISTINE MOMANYI</t>
  </si>
  <si>
    <t xml:space="preserve">JOYCE MONGINA </t>
  </si>
  <si>
    <t>FLORENCE BOCHABERI</t>
  </si>
  <si>
    <t>BRIAN OSORO</t>
  </si>
  <si>
    <t xml:space="preserve">DAVIES JAMES </t>
  </si>
  <si>
    <t>BEAVON RORI</t>
  </si>
  <si>
    <t>EDWIN EKIRAPA</t>
  </si>
  <si>
    <t>EVERLYNE OKEYO</t>
  </si>
  <si>
    <t>DIVINAH NYAKEYO</t>
  </si>
  <si>
    <t>ELIZAR ATULA</t>
  </si>
  <si>
    <t>FUN MISIANI</t>
  </si>
  <si>
    <t>HELLEN NAIMADU</t>
  </si>
  <si>
    <t>FREDRICK NYATEMU</t>
  </si>
  <si>
    <t>HILDER OUDU</t>
  </si>
  <si>
    <t>LEVINE OTIENO</t>
  </si>
  <si>
    <t>CAROLINE K</t>
  </si>
  <si>
    <t>EVANS NYAKWARA</t>
  </si>
  <si>
    <t>BRENDA AUMA</t>
  </si>
  <si>
    <t>VINCENT ONSEMBE</t>
  </si>
  <si>
    <t>SHADRACK ODHIAMBO</t>
  </si>
  <si>
    <t>ANTONINA AWUOR</t>
  </si>
  <si>
    <t>ANTONY OBWANGI</t>
  </si>
  <si>
    <t>IRENE MIRIOBA</t>
  </si>
  <si>
    <t>SYLVIAH NYAKUNDI</t>
  </si>
  <si>
    <t>ETHAN &amp; ADRIEL MOMANYI</t>
  </si>
  <si>
    <t>LEONARD JOHNSON</t>
  </si>
  <si>
    <t>DANIEL SAGWE</t>
  </si>
  <si>
    <t>GRACE KANYI</t>
  </si>
  <si>
    <t>VINIC ONDIEKI</t>
  </si>
  <si>
    <t>CANNON ODHIAMBO</t>
  </si>
  <si>
    <t>DAMACLINE GESARE</t>
  </si>
  <si>
    <t>LEVINAH WYCLIFFE</t>
  </si>
  <si>
    <t>ADONIJAH OMETE</t>
  </si>
  <si>
    <t xml:space="preserve">WINNIE MCHANA </t>
  </si>
  <si>
    <t>BERYL ADHIAMBO OTIENO</t>
  </si>
  <si>
    <t>BILIAH KWAMBOKA</t>
  </si>
  <si>
    <t xml:space="preserve">JESCA ADHIAMBO OCHIENG </t>
  </si>
  <si>
    <t>MAUREEN NGOCHI</t>
  </si>
  <si>
    <t>ATAI FAMILY</t>
  </si>
  <si>
    <t>STELLAH KERUBO</t>
  </si>
  <si>
    <t>ANNE MOGIRE</t>
  </si>
  <si>
    <t>CECILIA WANGUI</t>
  </si>
  <si>
    <t>ELD OUMA AND FAMILY</t>
  </si>
  <si>
    <t>JEMIMA NYOLOO</t>
  </si>
  <si>
    <t>FELIX M MUSIU</t>
  </si>
  <si>
    <t>JOHN ONGWESA</t>
  </si>
  <si>
    <t>KENNEDY OLENDI</t>
  </si>
  <si>
    <t xml:space="preserve">JOSEPH NGWATO </t>
  </si>
  <si>
    <t>JOSEPH KIMO</t>
  </si>
  <si>
    <t>REBECCA BARASA</t>
  </si>
  <si>
    <t>REAL ROBBY</t>
  </si>
  <si>
    <t>OMWENGA OGETO</t>
  </si>
  <si>
    <t xml:space="preserve">MERCY GUDA </t>
  </si>
  <si>
    <t>MAXWELL OTIENO</t>
  </si>
  <si>
    <t>LOVENA KODIYO</t>
  </si>
  <si>
    <t>ROSELYNE OMANYA</t>
  </si>
  <si>
    <t>TREASURERS CASH STATEMENT, 28 FEB 2026</t>
  </si>
  <si>
    <t>Dorice Chebet</t>
  </si>
  <si>
    <t>Gift Macvanne Momanyi</t>
  </si>
  <si>
    <t>Judith Odoyo</t>
  </si>
  <si>
    <t>Samwel Abaya</t>
  </si>
  <si>
    <t>Brenda Awino</t>
  </si>
  <si>
    <t>Martha Bitengo</t>
  </si>
  <si>
    <t>Christine Kawira</t>
  </si>
  <si>
    <t>Daniel Njoroge</t>
  </si>
  <si>
    <t>Bill Oroto</t>
  </si>
  <si>
    <t>Sarah Abaya</t>
  </si>
  <si>
    <t>Joy Mellen Faith</t>
  </si>
  <si>
    <t>Millicent Atieno</t>
  </si>
  <si>
    <t>SYLIVIA ALWANGA</t>
  </si>
  <si>
    <t>CALVINS OUMA -GRP 16</t>
  </si>
  <si>
    <t>GRACE WANGARE</t>
  </si>
  <si>
    <t>ERIC NYAMAMBA</t>
  </si>
  <si>
    <t>WINNY-GRP 34</t>
  </si>
  <si>
    <t>ADVENTURERS GROUP</t>
  </si>
  <si>
    <t>EDWIN BOGE -GRP 24</t>
  </si>
  <si>
    <t>ROBINSON NYARIBO'S FAMILY</t>
  </si>
  <si>
    <t>OMOSA'S FAMILY</t>
  </si>
  <si>
    <t>MOSETI'S FAMILY</t>
  </si>
  <si>
    <t>HILDERGAUD KAMANDA</t>
  </si>
  <si>
    <t>ELIAZAR ATULA</t>
  </si>
  <si>
    <t>CLEOPAS OMETE</t>
  </si>
  <si>
    <t>CYNTHIA HUDZON</t>
  </si>
  <si>
    <t>DETE OCHIENG</t>
  </si>
  <si>
    <t>BOCHABERI OMBORI</t>
  </si>
  <si>
    <t>IRENE VARSITY -GRP 11</t>
  </si>
  <si>
    <t>EDWARD ONYANGO-GRP 2</t>
  </si>
  <si>
    <t>PURITY MBATHA -GRP 26</t>
  </si>
  <si>
    <t>GRP 40</t>
  </si>
  <si>
    <t>ESTHER SIOCHA'S FAMILY</t>
  </si>
  <si>
    <t>ISAAC MOMANYI</t>
  </si>
  <si>
    <t xml:space="preserve">BRIAN PASSY </t>
  </si>
  <si>
    <t>JOB MITITI'S FAMILY</t>
  </si>
  <si>
    <t>LEVINAH WYCLIFE</t>
  </si>
  <si>
    <t>BRAVIAN ENOCK</t>
  </si>
  <si>
    <t>DORCAH GESARE OSANO</t>
  </si>
  <si>
    <t>JACKSON OUMA</t>
  </si>
  <si>
    <t>AZIEL OUMA</t>
  </si>
  <si>
    <t>MAURICE MUNGA</t>
  </si>
  <si>
    <t>PEREZ OLOGI</t>
  </si>
  <si>
    <t>CALLEN AKAMA</t>
  </si>
  <si>
    <t>IVAN HORACE</t>
  </si>
  <si>
    <t>LEVI KABATI</t>
  </si>
  <si>
    <t>CHARLES NJOROGE</t>
  </si>
  <si>
    <t>ANGELA KYENDE</t>
  </si>
  <si>
    <t>ASNATH MATARA</t>
  </si>
  <si>
    <t>BRENDA MATOKE</t>
  </si>
  <si>
    <t>BRIAN OINDI</t>
  </si>
  <si>
    <t>DONA ODERO</t>
  </si>
  <si>
    <t>EUNICE KERAGE</t>
  </si>
  <si>
    <t>EVANCE OJWANG</t>
  </si>
  <si>
    <t>FRIDAH ISOE</t>
  </si>
  <si>
    <t>JULIET BANGE</t>
  </si>
  <si>
    <t>LINET KEBASO</t>
  </si>
  <si>
    <t>MARWA KERARIO</t>
  </si>
  <si>
    <t>MERAB WANDOLLAH</t>
  </si>
  <si>
    <t>MOSES SINGH</t>
  </si>
  <si>
    <t>NAOMI NGITHI</t>
  </si>
  <si>
    <t>SAMWEL WAITHAKA</t>
  </si>
  <si>
    <t>SARAH AWITI</t>
  </si>
  <si>
    <t>VERAH NYAGAKA</t>
  </si>
  <si>
    <t>KAMAKIS CRUSADE</t>
  </si>
  <si>
    <t>EXPENSES (20/04/2024)</t>
  </si>
  <si>
    <t>BALANCE</t>
  </si>
  <si>
    <t>6KG Gas Refill</t>
  </si>
  <si>
    <t>Holy Communion 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</si>
</sst>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_-* #,##0.00_-;\-* #,##0.00_-;_-* \-??_-;_-@_-"/>
    <numFmt numFmtId="167" formatCode="[$-409]d\-mmm\-yy;@"/>
    <numFmt numFmtId="168" formatCode="_(* #,##0_);_(* \(#,##0\);_(* \-??_);_(@_)"/>
  </numFmts>
  <fonts count="21" x14ac:knownFonts="1">
    <font>
      <sz val="11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u val="singleAccounting"/>
      <sz val="11"/>
      <name val="Calibri"/>
      <family val="2"/>
    </font>
    <font>
      <b/>
      <sz val="12"/>
      <color rgb="FF000000"/>
      <name val="Century Gothic"/>
      <family val="1"/>
    </font>
    <font>
      <b/>
      <sz val="12"/>
      <color theme="1"/>
      <name val="Century Gothic"/>
      <family val="1"/>
    </font>
    <font>
      <b/>
      <u val="singleAccounting"/>
      <sz val="12"/>
      <color rgb="FF000000"/>
      <name val="Century Gothic"/>
      <family val="1"/>
    </font>
    <font>
      <b/>
      <u/>
      <sz val="12"/>
      <color rgb="FF000000"/>
      <name val="Century Gothic"/>
      <family val="1"/>
    </font>
    <font>
      <sz val="12"/>
      <color rgb="FF000000"/>
      <name val="Century Gothic"/>
      <family val="1"/>
    </font>
    <font>
      <sz val="12"/>
      <name val="Century Gothic"/>
      <family val="1"/>
    </font>
    <font>
      <b/>
      <u/>
      <sz val="12"/>
      <name val="Century Gothic"/>
      <family val="1"/>
    </font>
    <font>
      <b/>
      <sz val="12"/>
      <name val="Century Gothic"/>
      <family val="1"/>
    </font>
    <font>
      <b/>
      <u/>
      <sz val="12"/>
      <color theme="1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165" fontId="3" fillId="0" borderId="0">
      <protection locked="0"/>
    </xf>
  </cellStyleXfs>
  <cellXfs count="190">
    <xf numFmtId="0" fontId="0" fillId="0" borderId="0" xfId="0">
      <alignment vertical="center"/>
    </xf>
    <xf numFmtId="0" fontId="1" fillId="0" borderId="0" xfId="0" applyFont="1" applyAlignment="1"/>
    <xf numFmtId="0" fontId="2" fillId="0" borderId="8" xfId="0" applyFont="1" applyBorder="1" applyAlignment="1"/>
    <xf numFmtId="165" fontId="2" fillId="0" borderId="8" xfId="1" applyFont="1" applyBorder="1" applyProtection="1"/>
    <xf numFmtId="0" fontId="2" fillId="0" borderId="0" xfId="0" applyFont="1" applyAlignment="1"/>
    <xf numFmtId="0" fontId="2" fillId="0" borderId="8" xfId="0" applyFont="1" applyBorder="1" applyAlignment="1">
      <alignment wrapText="1"/>
    </xf>
    <xf numFmtId="165" fontId="3" fillId="0" borderId="0" xfId="1" applyProtection="1"/>
    <xf numFmtId="0" fontId="2" fillId="0" borderId="0" xfId="0" applyFont="1" applyAlignment="1">
      <alignment wrapText="1"/>
    </xf>
    <xf numFmtId="165" fontId="2" fillId="0" borderId="8" xfId="1" applyFont="1" applyBorder="1" applyAlignment="1" applyProtection="1">
      <alignment wrapText="1"/>
    </xf>
    <xf numFmtId="165" fontId="3" fillId="0" borderId="8" xfId="1" applyBorder="1" applyProtection="1"/>
    <xf numFmtId="0" fontId="4" fillId="2" borderId="0" xfId="0" applyFont="1" applyFill="1" applyAlignment="1"/>
    <xf numFmtId="165" fontId="3" fillId="2" borderId="8" xfId="1" applyFill="1" applyBorder="1" applyProtection="1"/>
    <xf numFmtId="165" fontId="2" fillId="0" borderId="0" xfId="0" applyNumberFormat="1" applyFont="1" applyAlignment="1"/>
    <xf numFmtId="0" fontId="5" fillId="0" borderId="0" xfId="0" applyFont="1" applyAlignment="1"/>
    <xf numFmtId="165" fontId="5" fillId="0" borderId="0" xfId="1" applyFont="1" applyProtection="1"/>
    <xf numFmtId="0" fontId="6" fillId="0" borderId="0" xfId="0" applyFont="1" applyAlignment="1"/>
    <xf numFmtId="0" fontId="7" fillId="0" borderId="0" xfId="0" applyFont="1" applyAlignment="1"/>
    <xf numFmtId="0" fontId="7" fillId="0" borderId="8" xfId="0" applyFont="1" applyBorder="1" applyAlignment="1"/>
    <xf numFmtId="165" fontId="7" fillId="0" borderId="8" xfId="0" applyNumberFormat="1" applyFont="1" applyBorder="1" applyAlignment="1"/>
    <xf numFmtId="166" fontId="7" fillId="0" borderId="8" xfId="0" applyNumberFormat="1" applyFont="1" applyBorder="1" applyAlignment="1"/>
    <xf numFmtId="165" fontId="6" fillId="0" borderId="8" xfId="0" applyNumberFormat="1" applyFont="1" applyBorder="1" applyAlignment="1"/>
    <xf numFmtId="166" fontId="6" fillId="0" borderId="8" xfId="0" applyNumberFormat="1" applyFont="1" applyBorder="1" applyAlignment="1"/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5" fontId="2" fillId="0" borderId="8" xfId="1" applyFont="1" applyBorder="1" applyAlignment="1" applyProtection="1">
      <alignment horizontal="left" vertical="top" wrapText="1"/>
    </xf>
    <xf numFmtId="165" fontId="2" fillId="0" borderId="8" xfId="0" applyNumberFormat="1" applyFont="1" applyBorder="1" applyAlignment="1"/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vertical="top" wrapText="1"/>
    </xf>
    <xf numFmtId="165" fontId="2" fillId="0" borderId="8" xfId="1" applyFont="1" applyBorder="1" applyAlignment="1" applyProtection="1">
      <alignment vertical="top" wrapText="1"/>
    </xf>
    <xf numFmtId="0" fontId="8" fillId="0" borderId="0" xfId="0" applyFont="1" applyAlignment="1"/>
    <xf numFmtId="0" fontId="8" fillId="0" borderId="8" xfId="0" applyFont="1" applyBorder="1" applyAlignment="1"/>
    <xf numFmtId="0" fontId="7" fillId="0" borderId="14" xfId="0" applyFont="1" applyBorder="1" applyAlignment="1"/>
    <xf numFmtId="165" fontId="2" fillId="0" borderId="0" xfId="1" applyFont="1" applyAlignment="1" applyProtection="1">
      <alignment vertical="top" wrapText="1"/>
    </xf>
    <xf numFmtId="0" fontId="0" fillId="0" borderId="8" xfId="0" applyBorder="1">
      <alignment vertical="center"/>
    </xf>
    <xf numFmtId="14" fontId="0" fillId="0" borderId="8" xfId="0" applyNumberFormat="1" applyBorder="1">
      <alignment vertical="center"/>
    </xf>
    <xf numFmtId="165" fontId="3" fillId="0" borderId="8" xfId="1" applyBorder="1">
      <protection locked="0"/>
    </xf>
    <xf numFmtId="165" fontId="9" fillId="0" borderId="8" xfId="0" applyNumberFormat="1" applyFont="1" applyBorder="1">
      <alignment vertical="center"/>
    </xf>
    <xf numFmtId="0" fontId="10" fillId="0" borderId="8" xfId="0" applyFont="1" applyBorder="1">
      <alignment vertical="center"/>
    </xf>
    <xf numFmtId="164" fontId="11" fillId="3" borderId="8" xfId="0" applyNumberFormat="1" applyFont="1" applyFill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 applyAlignment="1"/>
    <xf numFmtId="0" fontId="12" fillId="0" borderId="8" xfId="0" applyFont="1" applyBorder="1" applyAlignment="1"/>
    <xf numFmtId="0" fontId="12" fillId="0" borderId="8" xfId="0" applyFont="1" applyBorder="1" applyAlignment="1">
      <alignment vertical="top" wrapText="1"/>
    </xf>
    <xf numFmtId="14" fontId="3" fillId="0" borderId="8" xfId="0" applyNumberFormat="1" applyFont="1" applyBorder="1" applyAlignment="1"/>
    <xf numFmtId="0" fontId="3" fillId="0" borderId="8" xfId="0" applyFont="1" applyBorder="1" applyAlignment="1"/>
    <xf numFmtId="14" fontId="3" fillId="2" borderId="8" xfId="0" applyNumberFormat="1" applyFont="1" applyFill="1" applyBorder="1" applyAlignment="1"/>
    <xf numFmtId="0" fontId="3" fillId="2" borderId="8" xfId="0" applyFont="1" applyFill="1" applyBorder="1" applyAlignment="1"/>
    <xf numFmtId="165" fontId="12" fillId="0" borderId="8" xfId="1" applyFont="1" applyBorder="1" applyAlignment="1" applyProtection="1">
      <alignment vertical="top" wrapText="1"/>
    </xf>
    <xf numFmtId="165" fontId="12" fillId="0" borderId="8" xfId="1" applyFont="1" applyBorder="1" applyProtection="1"/>
    <xf numFmtId="165" fontId="12" fillId="0" borderId="0" xfId="1" applyFont="1" applyProtection="1"/>
    <xf numFmtId="0" fontId="12" fillId="0" borderId="1" xfId="0" applyFont="1" applyBorder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9" xfId="0" applyFont="1" applyBorder="1" applyAlignment="1"/>
    <xf numFmtId="165" fontId="12" fillId="0" borderId="9" xfId="0" applyNumberFormat="1" applyFont="1" applyBorder="1" applyAlignment="1"/>
    <xf numFmtId="166" fontId="12" fillId="0" borderId="9" xfId="0" applyNumberFormat="1" applyFont="1" applyBorder="1" applyAlignment="1"/>
    <xf numFmtId="165" fontId="15" fillId="0" borderId="9" xfId="0" applyNumberFormat="1" applyFont="1" applyBorder="1" applyAlignment="1"/>
    <xf numFmtId="0" fontId="12" fillId="0" borderId="11" xfId="0" applyFont="1" applyBorder="1" applyAlignment="1"/>
    <xf numFmtId="166" fontId="15" fillId="0" borderId="13" xfId="0" applyNumberFormat="1" applyFont="1" applyBorder="1" applyAlignment="1"/>
    <xf numFmtId="0" fontId="12" fillId="0" borderId="17" xfId="0" applyFont="1" applyBorder="1" applyAlignment="1">
      <alignment vertical="top" wrapText="1"/>
    </xf>
    <xf numFmtId="0" fontId="12" fillId="0" borderId="8" xfId="0" applyFont="1" applyBorder="1" applyAlignment="1">
      <alignment wrapText="1"/>
    </xf>
    <xf numFmtId="1" fontId="12" fillId="0" borderId="8" xfId="1" applyNumberFormat="1" applyFont="1" applyBorder="1" applyAlignment="1" applyProtection="1">
      <alignment vertical="top" wrapText="1"/>
    </xf>
    <xf numFmtId="1" fontId="12" fillId="0" borderId="8" xfId="1" applyNumberFormat="1" applyFont="1" applyBorder="1" applyProtection="1"/>
    <xf numFmtId="0" fontId="12" fillId="0" borderId="21" xfId="0" applyFont="1" applyBorder="1" applyAlignment="1"/>
    <xf numFmtId="0" fontId="17" fillId="0" borderId="0" xfId="0" applyFont="1">
      <alignment vertical="center"/>
    </xf>
    <xf numFmtId="167" fontId="12" fillId="0" borderId="2" xfId="0" applyNumberFormat="1" applyFont="1" applyBorder="1" applyAlignment="1"/>
    <xf numFmtId="165" fontId="12" fillId="0" borderId="5" xfId="1" applyFont="1" applyBorder="1" applyProtection="1"/>
    <xf numFmtId="165" fontId="12" fillId="0" borderId="16" xfId="1" applyFont="1" applyBorder="1" applyProtection="1"/>
    <xf numFmtId="164" fontId="17" fillId="0" borderId="0" xfId="0" applyNumberFormat="1" applyFont="1">
      <alignment vertical="center"/>
    </xf>
    <xf numFmtId="165" fontId="12" fillId="0" borderId="15" xfId="1" applyFont="1" applyBorder="1" applyProtection="1"/>
    <xf numFmtId="166" fontId="15" fillId="0" borderId="12" xfId="0" applyNumberFormat="1" applyFont="1" applyBorder="1" applyAlignment="1"/>
    <xf numFmtId="0" fontId="12" fillId="0" borderId="2" xfId="0" applyFont="1" applyBorder="1" applyAlignment="1"/>
    <xf numFmtId="0" fontId="12" fillId="0" borderId="23" xfId="0" applyFont="1" applyBorder="1" applyAlignment="1"/>
    <xf numFmtId="164" fontId="12" fillId="0" borderId="0" xfId="0" applyNumberFormat="1" applyFont="1" applyAlignment="1"/>
    <xf numFmtId="0" fontId="19" fillId="0" borderId="8" xfId="0" applyFont="1" applyBorder="1">
      <alignment vertical="center"/>
    </xf>
    <xf numFmtId="0" fontId="17" fillId="0" borderId="8" xfId="0" applyFont="1" applyBorder="1">
      <alignment vertical="center"/>
    </xf>
    <xf numFmtId="165" fontId="16" fillId="0" borderId="0" xfId="1" applyFont="1" applyProtection="1"/>
    <xf numFmtId="43" fontId="12" fillId="0" borderId="0" xfId="0" applyNumberFormat="1" applyFont="1" applyAlignment="1"/>
    <xf numFmtId="1" fontId="12" fillId="0" borderId="0" xfId="0" applyNumberFormat="1" applyFont="1" applyAlignment="1"/>
    <xf numFmtId="0" fontId="12" fillId="0" borderId="29" xfId="0" applyFont="1" applyBorder="1" applyAlignment="1"/>
    <xf numFmtId="0" fontId="12" fillId="0" borderId="4" xfId="0" applyFont="1" applyBorder="1" applyAlignment="1">
      <alignment wrapText="1"/>
    </xf>
    <xf numFmtId="0" fontId="12" fillId="0" borderId="27" xfId="0" applyFont="1" applyBorder="1" applyAlignment="1"/>
    <xf numFmtId="0" fontId="12" fillId="0" borderId="17" xfId="0" applyFont="1" applyBorder="1" applyAlignment="1"/>
    <xf numFmtId="168" fontId="13" fillId="0" borderId="8" xfId="1" applyNumberFormat="1" applyFont="1" applyBorder="1" applyAlignment="1" applyProtection="1">
      <alignment vertical="top" wrapText="1"/>
    </xf>
    <xf numFmtId="0" fontId="13" fillId="0" borderId="8" xfId="0" applyFont="1" applyBorder="1" applyAlignment="1"/>
    <xf numFmtId="0" fontId="13" fillId="0" borderId="0" xfId="0" applyFont="1" applyAlignment="1"/>
    <xf numFmtId="168" fontId="13" fillId="0" borderId="8" xfId="1" applyNumberFormat="1" applyFont="1" applyBorder="1" applyProtection="1"/>
    <xf numFmtId="168" fontId="13" fillId="0" borderId="0" xfId="1" applyNumberFormat="1" applyFont="1" applyProtection="1"/>
    <xf numFmtId="168" fontId="12" fillId="0" borderId="8" xfId="1" applyNumberFormat="1" applyFont="1" applyBorder="1" applyProtection="1"/>
    <xf numFmtId="168" fontId="12" fillId="0" borderId="9" xfId="0" applyNumberFormat="1" applyFont="1" applyBorder="1" applyAlignment="1"/>
    <xf numFmtId="0" fontId="13" fillId="0" borderId="8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1" xfId="0" applyFont="1" applyBorder="1" applyAlignment="1"/>
    <xf numFmtId="0" fontId="13" fillId="0" borderId="3" xfId="0" applyFont="1" applyBorder="1" applyAlignment="1"/>
    <xf numFmtId="0" fontId="13" fillId="0" borderId="4" xfId="0" applyFont="1" applyBorder="1" applyAlignment="1"/>
    <xf numFmtId="0" fontId="13" fillId="0" borderId="9" xfId="0" applyFont="1" applyBorder="1" applyAlignment="1"/>
    <xf numFmtId="165" fontId="13" fillId="0" borderId="9" xfId="0" applyNumberFormat="1" applyFont="1" applyBorder="1" applyAlignment="1"/>
    <xf numFmtId="166" fontId="13" fillId="0" borderId="9" xfId="0" applyNumberFormat="1" applyFont="1" applyBorder="1" applyAlignment="1"/>
    <xf numFmtId="0" fontId="13" fillId="0" borderId="11" xfId="0" applyFont="1" applyBorder="1" applyAlignment="1"/>
    <xf numFmtId="165" fontId="20" fillId="0" borderId="13" xfId="0" applyNumberFormat="1" applyFont="1" applyBorder="1" applyAlignment="1"/>
    <xf numFmtId="0" fontId="13" fillId="0" borderId="18" xfId="0" applyFont="1" applyBorder="1" applyAlignment="1"/>
    <xf numFmtId="0" fontId="13" fillId="0" borderId="19" xfId="0" applyFont="1" applyBorder="1" applyAlignment="1"/>
    <xf numFmtId="0" fontId="13" fillId="0" borderId="21" xfId="0" applyFont="1" applyBorder="1" applyAlignment="1"/>
    <xf numFmtId="165" fontId="13" fillId="0" borderId="22" xfId="0" applyNumberFormat="1" applyFont="1" applyBorder="1" applyAlignment="1"/>
    <xf numFmtId="166" fontId="20" fillId="0" borderId="13" xfId="0" applyNumberFormat="1" applyFont="1" applyBorder="1" applyAlignment="1"/>
    <xf numFmtId="0" fontId="13" fillId="0" borderId="8" xfId="1" applyNumberFormat="1" applyFont="1" applyBorder="1" applyAlignment="1" applyProtection="1">
      <alignment vertical="top" wrapText="1"/>
    </xf>
    <xf numFmtId="0" fontId="13" fillId="0" borderId="8" xfId="1" applyNumberFormat="1" applyFont="1" applyBorder="1" applyProtection="1"/>
    <xf numFmtId="0" fontId="13" fillId="0" borderId="10" xfId="0" applyFont="1" applyBorder="1" applyAlignment="1"/>
    <xf numFmtId="0" fontId="13" fillId="0" borderId="12" xfId="0" applyFont="1" applyBorder="1" applyAlignment="1"/>
    <xf numFmtId="0" fontId="13" fillId="0" borderId="12" xfId="1" applyNumberFormat="1" applyFont="1" applyBorder="1" applyAlignment="1" applyProtection="1">
      <alignment vertical="top" wrapText="1"/>
    </xf>
    <xf numFmtId="0" fontId="13" fillId="0" borderId="7" xfId="0" applyFont="1" applyBorder="1" applyAlignment="1"/>
    <xf numFmtId="0" fontId="13" fillId="0" borderId="20" xfId="0" applyFont="1" applyBorder="1" applyAlignment="1"/>
    <xf numFmtId="0" fontId="13" fillId="0" borderId="20" xfId="1" applyNumberFormat="1" applyFont="1" applyBorder="1" applyProtection="1"/>
    <xf numFmtId="0" fontId="13" fillId="0" borderId="0" xfId="1" applyNumberFormat="1" applyFont="1" applyProtection="1"/>
    <xf numFmtId="43" fontId="13" fillId="0" borderId="0" xfId="1" applyNumberFormat="1" applyFont="1" applyProtection="1"/>
    <xf numFmtId="165" fontId="13" fillId="0" borderId="8" xfId="0" applyNumberFormat="1" applyFont="1" applyBorder="1" applyAlignment="1"/>
    <xf numFmtId="166" fontId="13" fillId="0" borderId="8" xfId="0" applyNumberFormat="1" applyFont="1" applyBorder="1" applyAlignment="1"/>
    <xf numFmtId="165" fontId="20" fillId="0" borderId="8" xfId="0" applyNumberFormat="1" applyFont="1" applyBorder="1" applyAlignment="1"/>
    <xf numFmtId="166" fontId="20" fillId="0" borderId="8" xfId="0" applyNumberFormat="1" applyFont="1" applyBorder="1" applyAlignment="1"/>
    <xf numFmtId="168" fontId="13" fillId="0" borderId="0" xfId="0" applyNumberFormat="1" applyFont="1" applyAlignment="1"/>
    <xf numFmtId="1" fontId="13" fillId="0" borderId="0" xfId="0" applyNumberFormat="1" applyFont="1" applyAlignment="1"/>
    <xf numFmtId="0" fontId="17" fillId="0" borderId="0" xfId="0" applyFont="1" applyAlignment="1">
      <alignment horizontal="right" vertical="center"/>
    </xf>
    <xf numFmtId="0" fontId="12" fillId="0" borderId="3" xfId="0" applyFont="1" applyBorder="1" applyAlignment="1">
      <alignment horizontal="right"/>
    </xf>
    <xf numFmtId="165" fontId="12" fillId="0" borderId="9" xfId="1" applyFont="1" applyBorder="1" applyAlignment="1" applyProtection="1">
      <alignment horizontal="right"/>
    </xf>
    <xf numFmtId="166" fontId="18" fillId="0" borderId="13" xfId="0" applyNumberFormat="1" applyFont="1" applyBorder="1" applyAlignment="1">
      <alignment horizontal="right"/>
    </xf>
    <xf numFmtId="165" fontId="16" fillId="0" borderId="30" xfId="1" applyFont="1" applyBorder="1" applyAlignment="1">
      <alignment horizontal="right"/>
      <protection locked="0"/>
    </xf>
    <xf numFmtId="164" fontId="14" fillId="0" borderId="30" xfId="0" applyNumberFormat="1" applyFont="1" applyBorder="1" applyAlignment="1">
      <alignment horizontal="right"/>
    </xf>
    <xf numFmtId="0" fontId="12" fillId="0" borderId="30" xfId="0" applyFont="1" applyBorder="1" applyAlignment="1">
      <alignment horizontal="right"/>
    </xf>
    <xf numFmtId="0" fontId="17" fillId="0" borderId="30" xfId="0" applyFont="1" applyBorder="1" applyAlignment="1">
      <alignment horizontal="right" vertical="center"/>
    </xf>
    <xf numFmtId="0" fontId="17" fillId="0" borderId="28" xfId="0" applyFont="1" applyBorder="1" applyAlignment="1">
      <alignment horizontal="right" vertical="center"/>
    </xf>
    <xf numFmtId="1" fontId="12" fillId="0" borderId="8" xfId="0" applyNumberFormat="1" applyFont="1" applyBorder="1" applyAlignment="1"/>
    <xf numFmtId="1" fontId="13" fillId="0" borderId="8" xfId="1" applyNumberFormat="1" applyFont="1" applyBorder="1" applyAlignment="1" applyProtection="1">
      <alignment vertical="top" wrapText="1"/>
    </xf>
    <xf numFmtId="1" fontId="13" fillId="0" borderId="10" xfId="1" applyNumberFormat="1" applyFont="1" applyBorder="1" applyAlignment="1" applyProtection="1">
      <alignment vertical="top" wrapText="1"/>
    </xf>
    <xf numFmtId="1" fontId="13" fillId="0" borderId="20" xfId="1" applyNumberFormat="1" applyFont="1" applyBorder="1" applyProtection="1"/>
    <xf numFmtId="0" fontId="13" fillId="4" borderId="10" xfId="0" applyFont="1" applyFill="1" applyBorder="1" applyAlignment="1"/>
    <xf numFmtId="165" fontId="12" fillId="0" borderId="10" xfId="1" applyFont="1" applyBorder="1" applyProtection="1"/>
    <xf numFmtId="165" fontId="12" fillId="0" borderId="31" xfId="1" applyFont="1" applyBorder="1" applyProtection="1"/>
    <xf numFmtId="0" fontId="13" fillId="5" borderId="8" xfId="0" applyFont="1" applyFill="1" applyBorder="1" applyAlignment="1"/>
    <xf numFmtId="168" fontId="13" fillId="0" borderId="32" xfId="1" applyNumberFormat="1" applyFont="1" applyBorder="1" applyAlignment="1" applyProtection="1">
      <alignment vertical="top" wrapText="1"/>
    </xf>
    <xf numFmtId="0" fontId="13" fillId="0" borderId="32" xfId="0" applyFont="1" applyBorder="1" applyAlignment="1"/>
    <xf numFmtId="168" fontId="13" fillId="0" borderId="10" xfId="1" applyNumberFormat="1" applyFont="1" applyBorder="1" applyAlignment="1" applyProtection="1">
      <alignment vertical="top" wrapText="1"/>
    </xf>
    <xf numFmtId="168" fontId="13" fillId="0" borderId="7" xfId="1" applyNumberFormat="1" applyFont="1" applyBorder="1" applyAlignment="1" applyProtection="1">
      <alignment vertical="top" wrapText="1"/>
    </xf>
    <xf numFmtId="168" fontId="13" fillId="0" borderId="8" xfId="0" applyNumberFormat="1" applyFont="1" applyBorder="1" applyAlignment="1"/>
    <xf numFmtId="1" fontId="13" fillId="0" borderId="8" xfId="0" applyNumberFormat="1" applyFont="1" applyBorder="1" applyAlignment="1"/>
    <xf numFmtId="168" fontId="13" fillId="0" borderId="32" xfId="1" applyNumberFormat="1" applyFont="1" applyBorder="1" applyProtection="1"/>
    <xf numFmtId="1" fontId="13" fillId="0" borderId="15" xfId="0" applyNumberFormat="1" applyFont="1" applyBorder="1" applyAlignment="1"/>
    <xf numFmtId="168" fontId="13" fillId="0" borderId="5" xfId="1" applyNumberFormat="1" applyFont="1" applyBorder="1" applyAlignment="1" applyProtection="1">
      <alignment vertical="top" wrapText="1"/>
    </xf>
    <xf numFmtId="0" fontId="13" fillId="0" borderId="8" xfId="0" applyFont="1" applyBorder="1" applyAlignment="1">
      <alignment horizontal="center"/>
    </xf>
    <xf numFmtId="165" fontId="12" fillId="0" borderId="32" xfId="1" applyFont="1" applyBorder="1" applyProtection="1"/>
    <xf numFmtId="165" fontId="12" fillId="0" borderId="6" xfId="1" applyFont="1" applyBorder="1" applyAlignment="1" applyProtection="1">
      <alignment horizontal="right"/>
    </xf>
    <xf numFmtId="167" fontId="12" fillId="0" borderId="33" xfId="0" applyNumberFormat="1" applyFont="1" applyBorder="1" applyAlignment="1"/>
    <xf numFmtId="0" fontId="13" fillId="0" borderId="34" xfId="1" applyNumberFormat="1" applyFont="1" applyBorder="1" applyAlignment="1" applyProtection="1">
      <alignment vertical="top" wrapText="1"/>
    </xf>
    <xf numFmtId="165" fontId="12" fillId="0" borderId="34" xfId="1" applyFont="1" applyBorder="1" applyProtection="1"/>
    <xf numFmtId="165" fontId="12" fillId="0" borderId="35" xfId="1" applyFont="1" applyBorder="1" applyProtection="1"/>
    <xf numFmtId="165" fontId="12" fillId="0" borderId="36" xfId="1" applyFont="1" applyBorder="1" applyAlignment="1" applyProtection="1">
      <alignment horizontal="right"/>
    </xf>
    <xf numFmtId="0" fontId="12" fillId="0" borderId="37" xfId="0" applyFont="1" applyBorder="1" applyAlignment="1"/>
    <xf numFmtId="166" fontId="15" fillId="0" borderId="38" xfId="0" applyNumberFormat="1" applyFont="1" applyBorder="1" applyAlignment="1"/>
    <xf numFmtId="0" fontId="12" fillId="0" borderId="39" xfId="0" applyFont="1" applyBorder="1" applyAlignment="1"/>
    <xf numFmtId="165" fontId="12" fillId="0" borderId="40" xfId="1" applyFont="1" applyBorder="1" applyProtection="1"/>
    <xf numFmtId="165" fontId="12" fillId="0" borderId="41" xfId="1" applyFont="1" applyBorder="1" applyProtection="1"/>
    <xf numFmtId="165" fontId="12" fillId="0" borderId="42" xfId="1" applyFont="1" applyBorder="1" applyProtection="1"/>
    <xf numFmtId="165" fontId="12" fillId="0" borderId="43" xfId="1" applyFont="1" applyBorder="1" applyAlignment="1" applyProtection="1">
      <alignment horizontal="right"/>
    </xf>
    <xf numFmtId="0" fontId="12" fillId="0" borderId="45" xfId="0" applyFont="1" applyBorder="1" applyAlignment="1"/>
    <xf numFmtId="0" fontId="15" fillId="0" borderId="44" xfId="0" applyFont="1" applyBorder="1" applyAlignment="1"/>
    <xf numFmtId="164" fontId="15" fillId="0" borderId="7" xfId="0" applyNumberFormat="1" applyFont="1" applyBorder="1" applyAlignment="1"/>
    <xf numFmtId="164" fontId="15" fillId="0" borderId="48" xfId="0" applyNumberFormat="1" applyFont="1" applyBorder="1" applyAlignment="1">
      <alignment horizontal="right"/>
    </xf>
    <xf numFmtId="165" fontId="12" fillId="0" borderId="46" xfId="1" applyFont="1" applyBorder="1" applyProtection="1"/>
    <xf numFmtId="165" fontId="12" fillId="0" borderId="47" xfId="1" applyFont="1" applyBorder="1" applyAlignment="1" applyProtection="1">
      <alignment horizontal="right"/>
    </xf>
    <xf numFmtId="0" fontId="13" fillId="0" borderId="52" xfId="0" applyFont="1" applyBorder="1" applyAlignment="1">
      <alignment vertical="top" wrapText="1"/>
    </xf>
    <xf numFmtId="0" fontId="13" fillId="0" borderId="53" xfId="0" applyFont="1" applyBorder="1" applyAlignment="1">
      <alignment vertical="top" wrapText="1"/>
    </xf>
    <xf numFmtId="0" fontId="13" fillId="0" borderId="52" xfId="1" applyNumberFormat="1" applyFont="1" applyBorder="1">
      <protection locked="0"/>
    </xf>
    <xf numFmtId="168" fontId="13" fillId="0" borderId="54" xfId="0" applyNumberFormat="1" applyFont="1" applyBorder="1" applyAlignment="1"/>
    <xf numFmtId="0" fontId="13" fillId="0" borderId="55" xfId="0" applyFont="1" applyBorder="1" applyAlignment="1"/>
    <xf numFmtId="0" fontId="13" fillId="0" borderId="34" xfId="0" applyFont="1" applyBorder="1" applyAlignment="1"/>
    <xf numFmtId="168" fontId="13" fillId="0" borderId="34" xfId="1" applyNumberFormat="1" applyFont="1" applyBorder="1" applyProtection="1"/>
    <xf numFmtId="168" fontId="13" fillId="0" borderId="56" xfId="0" applyNumberFormat="1" applyFont="1" applyBorder="1" applyAlignment="1"/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7"/>
  <sheetViews>
    <sheetView zoomScale="106" workbookViewId="0">
      <pane ySplit="4" topLeftCell="A5" activePane="bottomLeft" state="frozen"/>
      <selection pane="bottomLeft" activeCell="C2" sqref="C2:I2"/>
    </sheetView>
  </sheetViews>
  <sheetFormatPr baseColWidth="10" defaultColWidth="8.6640625" defaultRowHeight="17.25" customHeight="1" x14ac:dyDescent="0.2"/>
  <cols>
    <col min="1" max="1" width="8.6640625" style="64"/>
    <col min="2" max="2" width="2.6640625" style="64" customWidth="1"/>
    <col min="3" max="3" width="33" style="64" bestFit="1" customWidth="1"/>
    <col min="4" max="4" width="30.6640625" style="64" bestFit="1" customWidth="1"/>
    <col min="5" max="5" width="21.5" style="64" customWidth="1"/>
    <col min="6" max="6" width="22.1640625" style="64" customWidth="1"/>
    <col min="7" max="8" width="22" style="64" customWidth="1"/>
    <col min="9" max="9" width="22.5" style="121" customWidth="1"/>
    <col min="10" max="10" width="3.5" style="64" customWidth="1"/>
    <col min="11" max="16384" width="8.6640625" style="64"/>
  </cols>
  <sheetData>
    <row r="1" spans="2:10" ht="16" x14ac:dyDescent="0.2">
      <c r="B1" s="64" t="s">
        <v>0</v>
      </c>
    </row>
    <row r="2" spans="2:10" ht="16" x14ac:dyDescent="0.2">
      <c r="C2" s="176" t="s">
        <v>1</v>
      </c>
      <c r="D2" s="177"/>
      <c r="E2" s="177"/>
      <c r="F2" s="177"/>
      <c r="G2" s="177"/>
      <c r="H2" s="177"/>
      <c r="I2" s="178"/>
    </row>
    <row r="3" spans="2:10" ht="16" x14ac:dyDescent="0.2">
      <c r="C3" s="179" t="s">
        <v>2</v>
      </c>
      <c r="D3" s="180"/>
      <c r="E3" s="180"/>
      <c r="F3" s="180"/>
      <c r="G3" s="180"/>
      <c r="H3" s="180"/>
      <c r="I3" s="181"/>
    </row>
    <row r="4" spans="2:10" s="40" customFormat="1" ht="16" x14ac:dyDescent="0.2">
      <c r="C4" s="50"/>
      <c r="D4" s="65">
        <v>46060</v>
      </c>
      <c r="E4" s="65">
        <f>D4+7</f>
        <v>46067</v>
      </c>
      <c r="F4" s="65">
        <f>E4+7</f>
        <v>46074</v>
      </c>
      <c r="G4" s="65">
        <f t="shared" ref="G4" si="0">F4+7</f>
        <v>46081</v>
      </c>
      <c r="H4" s="150"/>
      <c r="I4" s="122" t="s">
        <v>3</v>
      </c>
    </row>
    <row r="5" spans="2:10" ht="16" x14ac:dyDescent="0.2">
      <c r="C5" s="52" t="s">
        <v>4</v>
      </c>
      <c r="D5" s="66">
        <f>'SABBATH 1'!C160</f>
        <v>70623</v>
      </c>
      <c r="E5" s="66">
        <f>'SABBATH 2'!C157</f>
        <v>103901</v>
      </c>
      <c r="F5" s="66">
        <f>'SABBAATH 3'!C120</f>
        <v>56147</v>
      </c>
      <c r="G5" s="67">
        <f>'SABBATH 4'!C106</f>
        <v>172641</v>
      </c>
      <c r="H5" s="148"/>
      <c r="I5" s="149">
        <f t="shared" ref="I5:I11" si="1">SUM(D5:H5)</f>
        <v>403312</v>
      </c>
    </row>
    <row r="6" spans="2:10" ht="16" x14ac:dyDescent="0.2">
      <c r="C6" s="52" t="s">
        <v>5</v>
      </c>
      <c r="D6" s="66">
        <f>'SABBATH 1'!C161</f>
        <v>2834.5</v>
      </c>
      <c r="E6" s="66">
        <f>'SABBATH 2'!C158</f>
        <v>8829.5</v>
      </c>
      <c r="F6" s="66">
        <f>'SABBAATH 3'!C121</f>
        <v>3627.5</v>
      </c>
      <c r="G6" s="67">
        <f>'SABBATH 4'!C107</f>
        <v>3455</v>
      </c>
      <c r="H6" s="148"/>
      <c r="I6" s="149">
        <f t="shared" si="1"/>
        <v>18746.5</v>
      </c>
    </row>
    <row r="7" spans="2:10" ht="16" x14ac:dyDescent="0.2">
      <c r="C7" s="52" t="s">
        <v>6</v>
      </c>
      <c r="D7" s="66">
        <f>'SABBATH 1'!C163</f>
        <v>2925</v>
      </c>
      <c r="E7" s="66">
        <f>'SABBATH 2'!C160</f>
        <v>350</v>
      </c>
      <c r="F7" s="66">
        <f>'SABBAATH 3'!C123</f>
        <v>2700</v>
      </c>
      <c r="G7" s="67">
        <f>'SABBATH 4'!C109</f>
        <v>650</v>
      </c>
      <c r="H7" s="148"/>
      <c r="I7" s="149">
        <f t="shared" si="1"/>
        <v>6625</v>
      </c>
    </row>
    <row r="8" spans="2:10" ht="16" x14ac:dyDescent="0.2">
      <c r="C8" s="52" t="s">
        <v>7</v>
      </c>
      <c r="D8" s="66">
        <v>0</v>
      </c>
      <c r="E8" s="66">
        <v>0</v>
      </c>
      <c r="F8" s="66">
        <v>0</v>
      </c>
      <c r="G8" s="67">
        <v>0</v>
      </c>
      <c r="H8" s="148"/>
      <c r="I8" s="149">
        <f t="shared" si="1"/>
        <v>0</v>
      </c>
    </row>
    <row r="9" spans="2:10" ht="16" x14ac:dyDescent="0.2">
      <c r="C9" s="52" t="s">
        <v>8</v>
      </c>
      <c r="D9" s="66">
        <f>'SABBATH 1'!C162</f>
        <v>385</v>
      </c>
      <c r="E9" s="66">
        <f>'SABBATH 2'!C159</f>
        <v>740</v>
      </c>
      <c r="F9" s="66">
        <f>'SABBAATH 3'!C122</f>
        <v>200</v>
      </c>
      <c r="G9" s="67">
        <f>'SABBATH 4'!C108</f>
        <v>760</v>
      </c>
      <c r="H9" s="148"/>
      <c r="I9" s="149">
        <f t="shared" si="1"/>
        <v>2085</v>
      </c>
    </row>
    <row r="10" spans="2:10" ht="16" x14ac:dyDescent="0.2">
      <c r="C10" s="52" t="s">
        <v>9</v>
      </c>
      <c r="D10" s="66">
        <f>'SABBATH 1'!C165</f>
        <v>0</v>
      </c>
      <c r="E10" s="66">
        <f>'SABBATH 2'!C162</f>
        <v>0</v>
      </c>
      <c r="F10" s="66">
        <f>'SABBAATH 3'!C125</f>
        <v>0</v>
      </c>
      <c r="G10" s="67">
        <f>'SABBATH 4'!C111</f>
        <v>0</v>
      </c>
      <c r="H10" s="148"/>
      <c r="I10" s="149">
        <f t="shared" si="1"/>
        <v>0</v>
      </c>
    </row>
    <row r="11" spans="2:10" ht="16" x14ac:dyDescent="0.2">
      <c r="C11" s="157" t="s">
        <v>10</v>
      </c>
      <c r="D11" s="158">
        <f>'SABBATH 1'!C164</f>
        <v>0</v>
      </c>
      <c r="E11" s="158">
        <f>'SABBATH 2'!C161</f>
        <v>0</v>
      </c>
      <c r="F11" s="158">
        <f>'SABBAATH 3'!C124</f>
        <v>0</v>
      </c>
      <c r="G11" s="159">
        <f>'SABBATH 4'!C110</f>
        <v>0</v>
      </c>
      <c r="H11" s="160"/>
      <c r="I11" s="161">
        <f t="shared" si="1"/>
        <v>0</v>
      </c>
    </row>
    <row r="12" spans="2:10" ht="16" x14ac:dyDescent="0.2">
      <c r="C12" s="162" t="s">
        <v>11</v>
      </c>
      <c r="D12" s="166">
        <f t="shared" ref="D12:G12" si="2">SUM(D5:D11)</f>
        <v>76767.5</v>
      </c>
      <c r="E12" s="166">
        <f t="shared" si="2"/>
        <v>113820.5</v>
      </c>
      <c r="F12" s="166">
        <f t="shared" si="2"/>
        <v>62674.5</v>
      </c>
      <c r="G12" s="166">
        <f t="shared" si="2"/>
        <v>177506</v>
      </c>
      <c r="H12" s="166"/>
      <c r="I12" s="167">
        <f>SUM(I5:I11)</f>
        <v>430768.5</v>
      </c>
      <c r="J12" s="68"/>
    </row>
    <row r="13" spans="2:10" ht="16" x14ac:dyDescent="0.2">
      <c r="C13" s="163"/>
      <c r="D13" s="164"/>
      <c r="E13" s="164"/>
      <c r="F13" s="164"/>
      <c r="G13" s="164"/>
      <c r="H13" s="164"/>
      <c r="I13" s="165"/>
      <c r="J13" s="68"/>
    </row>
    <row r="14" spans="2:10" ht="16" x14ac:dyDescent="0.2">
      <c r="C14" s="52" t="s">
        <v>5</v>
      </c>
      <c r="D14" s="48">
        <f>'SABBATH 1'!C169</f>
        <v>2834.5</v>
      </c>
      <c r="E14" s="48">
        <f>E6</f>
        <v>8829.5</v>
      </c>
      <c r="F14" s="48">
        <f>'SABBAATH 3'!C129</f>
        <v>3627.5</v>
      </c>
      <c r="G14" s="48">
        <f>'SABBATH 4'!C115</f>
        <v>3455</v>
      </c>
      <c r="H14" s="69"/>
      <c r="I14" s="123">
        <f t="shared" ref="I14:I21" si="3">SUM(D14:H14)</f>
        <v>18746.5</v>
      </c>
    </row>
    <row r="15" spans="2:10" ht="16" x14ac:dyDescent="0.2">
      <c r="C15" s="52" t="s">
        <v>6</v>
      </c>
      <c r="D15" s="48">
        <f>'SABBATH 1'!C170</f>
        <v>2925</v>
      </c>
      <c r="E15" s="48">
        <f>'SABBATH 2'!C167</f>
        <v>350</v>
      </c>
      <c r="F15" s="48">
        <f>'SABBAATH 3'!C130</f>
        <v>2700</v>
      </c>
      <c r="G15" s="48">
        <f>'SABBATH 4'!C116</f>
        <v>650</v>
      </c>
      <c r="H15" s="69"/>
      <c r="I15" s="123">
        <f t="shared" si="3"/>
        <v>6625</v>
      </c>
    </row>
    <row r="16" spans="2:10" ht="16" x14ac:dyDescent="0.2">
      <c r="C16" s="52" t="s">
        <v>12</v>
      </c>
      <c r="D16" s="48">
        <f>'SABBATH 1'!C173</f>
        <v>4570</v>
      </c>
      <c r="E16" s="48">
        <f>'SABBATH 2'!C170</f>
        <v>6650</v>
      </c>
      <c r="F16" s="48">
        <f>'SABBAATH 3'!C134</f>
        <v>13870</v>
      </c>
      <c r="G16" s="48">
        <f>'SABBATH 4'!C119</f>
        <v>5800</v>
      </c>
      <c r="H16" s="69"/>
      <c r="I16" s="123">
        <f t="shared" si="3"/>
        <v>30890</v>
      </c>
    </row>
    <row r="17" spans="3:10" ht="16" x14ac:dyDescent="0.2">
      <c r="C17" s="52" t="s">
        <v>13</v>
      </c>
      <c r="D17" s="48">
        <f>'SABBATH 1'!C171</f>
        <v>0</v>
      </c>
      <c r="E17" s="48">
        <f>'SABBATH 2'!C168</f>
        <v>0</v>
      </c>
      <c r="F17" s="48"/>
      <c r="G17" s="48">
        <f>'SABBATH 4'!C117</f>
        <v>0</v>
      </c>
      <c r="H17" s="69"/>
      <c r="I17" s="123">
        <f t="shared" si="3"/>
        <v>0</v>
      </c>
    </row>
    <row r="18" spans="3:10" ht="16" x14ac:dyDescent="0.2">
      <c r="C18" s="52" t="s">
        <v>14</v>
      </c>
      <c r="D18" s="48">
        <f>'SABBATH 1'!C172</f>
        <v>23835</v>
      </c>
      <c r="E18" s="48">
        <f>'SABBATH 2'!C169</f>
        <v>3010</v>
      </c>
      <c r="F18" s="48">
        <f>'SABBAATH 3'!C132</f>
        <v>880</v>
      </c>
      <c r="G18" s="48">
        <f>'SABBATH 4'!C118</f>
        <v>20125</v>
      </c>
      <c r="H18" s="69"/>
      <c r="I18" s="123">
        <f t="shared" si="3"/>
        <v>47850</v>
      </c>
    </row>
    <row r="19" spans="3:10" ht="16" x14ac:dyDescent="0.2">
      <c r="C19" s="63" t="s">
        <v>15</v>
      </c>
      <c r="D19" s="48">
        <v>0</v>
      </c>
      <c r="E19" s="48">
        <f>'SABBATH 2'!C172</f>
        <v>160</v>
      </c>
      <c r="F19" s="48">
        <f>'SABBAATH 3'!C131</f>
        <v>30</v>
      </c>
      <c r="G19" s="48">
        <f>'SABBATH 4'!C120</f>
        <v>100</v>
      </c>
      <c r="H19" s="69"/>
      <c r="I19" s="123">
        <f t="shared" si="3"/>
        <v>290</v>
      </c>
    </row>
    <row r="20" spans="3:10" ht="17" x14ac:dyDescent="0.2">
      <c r="C20" s="105" t="s">
        <v>16</v>
      </c>
      <c r="D20" s="135">
        <f>'SABBATH 1'!C174</f>
        <v>200</v>
      </c>
      <c r="E20" s="135">
        <f>'SABBATH 2'!C173</f>
        <v>0</v>
      </c>
      <c r="F20" s="135"/>
      <c r="G20" s="135"/>
      <c r="H20" s="136"/>
      <c r="I20" s="123">
        <f t="shared" si="3"/>
        <v>200</v>
      </c>
    </row>
    <row r="21" spans="3:10" ht="17" x14ac:dyDescent="0.2">
      <c r="C21" s="151" t="s">
        <v>17</v>
      </c>
      <c r="D21" s="152">
        <v>0</v>
      </c>
      <c r="E21" s="152">
        <f>'SABBATH 2'!C174</f>
        <v>1550</v>
      </c>
      <c r="F21" s="152">
        <f>'SABBAATH 3'!C133</f>
        <v>0</v>
      </c>
      <c r="G21" s="152"/>
      <c r="H21" s="153"/>
      <c r="I21" s="154">
        <f t="shared" si="3"/>
        <v>1550</v>
      </c>
    </row>
    <row r="22" spans="3:10" s="40" customFormat="1" ht="16" x14ac:dyDescent="0.2">
      <c r="C22" s="155" t="s">
        <v>18</v>
      </c>
      <c r="D22" s="156">
        <f t="shared" ref="D22:I22" si="4">SUM(D14:D21)</f>
        <v>34364.5</v>
      </c>
      <c r="E22" s="156">
        <f t="shared" si="4"/>
        <v>20549.5</v>
      </c>
      <c r="F22" s="156">
        <f t="shared" si="4"/>
        <v>21107.5</v>
      </c>
      <c r="G22" s="156">
        <f t="shared" si="4"/>
        <v>30130</v>
      </c>
      <c r="H22" s="156">
        <f t="shared" si="4"/>
        <v>0</v>
      </c>
      <c r="I22" s="156">
        <f t="shared" si="4"/>
        <v>106151.5</v>
      </c>
    </row>
    <row r="23" spans="3:10" ht="16" x14ac:dyDescent="0.2">
      <c r="C23" s="50"/>
      <c r="D23" s="71"/>
      <c r="E23" s="71"/>
      <c r="F23" s="71"/>
      <c r="G23" s="71"/>
      <c r="H23" s="72"/>
      <c r="I23" s="122"/>
    </row>
    <row r="24" spans="3:10" s="40" customFormat="1" ht="16" x14ac:dyDescent="0.2">
      <c r="C24" s="57" t="s">
        <v>19</v>
      </c>
      <c r="D24" s="70">
        <f>D22+D12</f>
        <v>111132</v>
      </c>
      <c r="E24" s="70">
        <f>E22+E12</f>
        <v>134370</v>
      </c>
      <c r="F24" s="70">
        <f>F22+F12</f>
        <v>83782</v>
      </c>
      <c r="G24" s="70">
        <f>G22+G12</f>
        <v>207636</v>
      </c>
      <c r="H24" s="70">
        <f>H22+H12</f>
        <v>0</v>
      </c>
      <c r="I24" s="124">
        <f>SUM(D24:H24)</f>
        <v>536920</v>
      </c>
      <c r="J24" s="73"/>
    </row>
    <row r="25" spans="3:10" ht="16" x14ac:dyDescent="0.2">
      <c r="C25" s="79"/>
      <c r="D25" s="40"/>
      <c r="E25" s="40"/>
      <c r="F25" s="40"/>
      <c r="G25" s="40"/>
      <c r="H25" s="40"/>
      <c r="I25" s="125"/>
    </row>
    <row r="26" spans="3:10" ht="19" x14ac:dyDescent="0.35">
      <c r="C26" s="79"/>
      <c r="D26" s="40"/>
      <c r="E26" s="40"/>
      <c r="F26" s="40"/>
      <c r="G26" s="40"/>
      <c r="H26" s="40"/>
      <c r="I26" s="126"/>
    </row>
    <row r="27" spans="3:10" ht="16" x14ac:dyDescent="0.2">
      <c r="C27" s="79"/>
      <c r="D27" s="40"/>
      <c r="E27" s="40"/>
      <c r="F27" s="40"/>
      <c r="G27" s="40"/>
      <c r="H27" s="40"/>
      <c r="I27" s="127"/>
    </row>
    <row r="28" spans="3:10" ht="16" x14ac:dyDescent="0.2">
      <c r="C28" s="52" t="s">
        <v>20</v>
      </c>
      <c r="D28" s="74" t="s">
        <v>21</v>
      </c>
      <c r="E28" s="41" t="s">
        <v>22</v>
      </c>
      <c r="F28" s="41" t="s">
        <v>23</v>
      </c>
      <c r="G28" s="41" t="s">
        <v>24</v>
      </c>
      <c r="H28" s="41" t="s">
        <v>25</v>
      </c>
      <c r="I28" s="128"/>
    </row>
    <row r="29" spans="3:10" ht="34" x14ac:dyDescent="0.2">
      <c r="C29" s="80" t="s">
        <v>26</v>
      </c>
      <c r="D29" s="75"/>
      <c r="E29" s="41" t="s">
        <v>27</v>
      </c>
      <c r="F29" s="41"/>
      <c r="G29" s="41" t="s">
        <v>27</v>
      </c>
      <c r="H29" s="41"/>
      <c r="I29" s="128"/>
    </row>
    <row r="30" spans="3:10" ht="16" x14ac:dyDescent="0.2">
      <c r="C30" s="52" t="s">
        <v>28</v>
      </c>
      <c r="D30" s="75"/>
      <c r="E30" s="41" t="s">
        <v>29</v>
      </c>
      <c r="F30" s="41"/>
      <c r="G30" s="41" t="s">
        <v>29</v>
      </c>
      <c r="H30" s="41"/>
      <c r="I30" s="128"/>
    </row>
    <row r="31" spans="3:10" ht="16" x14ac:dyDescent="0.2">
      <c r="C31" s="81"/>
      <c r="D31" s="82"/>
      <c r="E31" s="82"/>
      <c r="F31" s="82"/>
      <c r="G31" s="82"/>
      <c r="H31" s="82"/>
      <c r="I31" s="129"/>
    </row>
    <row r="34" spans="6:6" ht="16" x14ac:dyDescent="0.2">
      <c r="F34" s="76"/>
    </row>
    <row r="35" spans="6:6" ht="16" x14ac:dyDescent="0.2">
      <c r="F35" s="76"/>
    </row>
    <row r="36" spans="6:6" ht="16" x14ac:dyDescent="0.2">
      <c r="F36" s="76"/>
    </row>
    <row r="37" spans="6:6" ht="16" x14ac:dyDescent="0.2">
      <c r="F37" s="76"/>
    </row>
  </sheetData>
  <mergeCells count="2">
    <mergeCell ref="C2:I2"/>
    <mergeCell ref="C3:I3"/>
  </mergeCells>
  <pageMargins left="0.7" right="0.7" top="0.75" bottom="0.75" header="0.3" footer="0.3"/>
  <pageSetup paperSize="9" scale="59" orientation="landscape" r:id="rId1"/>
  <ignoredErrors>
    <ignoredError sqref="D23 D31:E40 D27:E27 D58:E1048576 D44 D45 D46 D47 D48 D49 D50 D51 D41:D43 D52:D5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4"/>
  <sheetViews>
    <sheetView workbookViewId="0">
      <pane ySplit="3" topLeftCell="A90" activePane="bottomLeft" state="frozen"/>
      <selection pane="bottomLeft" activeCell="B92" sqref="B92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7.33203125" style="6" customWidth="1"/>
    <col min="8" max="8" width="24.5" style="6" customWidth="1"/>
    <col min="9" max="9" width="23.5" style="6" customWidth="1"/>
    <col min="10" max="10" width="13" style="6" customWidth="1"/>
    <col min="11" max="11" width="18.5" style="6" customWidth="1"/>
    <col min="12" max="12" width="19.5" style="6" customWidth="1"/>
    <col min="13" max="13" width="13.33203125" style="6" customWidth="1"/>
    <col min="14" max="14" width="9.6640625" style="6" customWidth="1"/>
    <col min="15" max="15" width="16.6640625" customWidth="1"/>
    <col min="16" max="16" width="14.6640625" customWidth="1"/>
    <col min="17" max="17" width="19.5" customWidth="1"/>
    <col min="18" max="18" width="19.6640625" customWidth="1"/>
    <col min="19" max="19" width="11.6640625" hidden="1" customWidth="1"/>
  </cols>
  <sheetData>
    <row r="2" spans="1:18" s="4" customFormat="1" x14ac:dyDescent="0.2">
      <c r="A2" s="2"/>
      <c r="B2" s="2"/>
      <c r="C2" s="182" t="s">
        <v>30</v>
      </c>
      <c r="D2" s="182"/>
      <c r="E2" s="182"/>
      <c r="F2" s="182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7" customFormat="1" ht="32" x14ac:dyDescent="0.2">
      <c r="A3" s="5" t="s">
        <v>31</v>
      </c>
      <c r="B3" s="5" t="s">
        <v>32</v>
      </c>
      <c r="C3" s="5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40</v>
      </c>
      <c r="K3" s="8" t="s">
        <v>41</v>
      </c>
      <c r="L3" s="8" t="s">
        <v>42</v>
      </c>
      <c r="M3" s="8" t="s">
        <v>43</v>
      </c>
      <c r="N3" s="8" t="s">
        <v>44</v>
      </c>
      <c r="O3" s="5" t="s">
        <v>45</v>
      </c>
      <c r="P3" s="5" t="s">
        <v>46</v>
      </c>
      <c r="Q3" s="5" t="s">
        <v>47</v>
      </c>
      <c r="R3" s="5" t="s">
        <v>48</v>
      </c>
    </row>
    <row r="4" spans="1:18" x14ac:dyDescent="0.2">
      <c r="A4" s="43">
        <v>44989</v>
      </c>
      <c r="B4" s="44" t="s">
        <v>49</v>
      </c>
      <c r="C4" s="44">
        <v>506436</v>
      </c>
      <c r="D4" s="9">
        <v>8151</v>
      </c>
      <c r="E4" s="9"/>
      <c r="F4" s="9"/>
      <c r="G4" s="9"/>
      <c r="H4" s="9"/>
      <c r="I4" s="9">
        <v>8151</v>
      </c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44989</v>
      </c>
      <c r="B5" s="44" t="s">
        <v>50</v>
      </c>
      <c r="C5" s="44">
        <v>506437</v>
      </c>
      <c r="D5" s="9">
        <v>300</v>
      </c>
      <c r="E5" s="9"/>
      <c r="F5" s="9"/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>
        <v>300</v>
      </c>
    </row>
    <row r="6" spans="1:18" x14ac:dyDescent="0.2">
      <c r="A6" s="43">
        <v>44989</v>
      </c>
      <c r="B6" s="44" t="s">
        <v>51</v>
      </c>
      <c r="C6" s="44">
        <v>506438</v>
      </c>
      <c r="D6" s="9">
        <v>200</v>
      </c>
      <c r="E6" s="9"/>
      <c r="F6" s="9">
        <v>200</v>
      </c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44989</v>
      </c>
      <c r="B7" s="44" t="s">
        <v>52</v>
      </c>
      <c r="C7" s="44">
        <v>506439</v>
      </c>
      <c r="D7" s="9">
        <v>220000</v>
      </c>
      <c r="E7" s="9"/>
      <c r="F7" s="9"/>
      <c r="G7" s="9"/>
      <c r="H7" s="9">
        <v>220000</v>
      </c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44989</v>
      </c>
      <c r="B8" s="44" t="s">
        <v>53</v>
      </c>
      <c r="C8" s="44">
        <v>506440</v>
      </c>
      <c r="D8" s="9">
        <v>1000</v>
      </c>
      <c r="E8" s="9"/>
      <c r="F8" s="9"/>
      <c r="G8" s="9"/>
      <c r="H8" s="9"/>
      <c r="I8" s="9">
        <v>1000</v>
      </c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44989</v>
      </c>
      <c r="B9" s="44" t="s">
        <v>54</v>
      </c>
      <c r="C9" s="44">
        <v>506441</v>
      </c>
      <c r="D9" s="9">
        <v>12000</v>
      </c>
      <c r="E9" s="9">
        <v>11000</v>
      </c>
      <c r="F9" s="9">
        <v>200</v>
      </c>
      <c r="G9" s="9"/>
      <c r="H9" s="9"/>
      <c r="I9" s="9">
        <v>800</v>
      </c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44989</v>
      </c>
      <c r="B10" s="44" t="s">
        <v>55</v>
      </c>
      <c r="C10" s="44">
        <v>506442</v>
      </c>
      <c r="D10" s="9">
        <v>60</v>
      </c>
      <c r="E10" s="9">
        <v>50</v>
      </c>
      <c r="F10" s="9">
        <v>10</v>
      </c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44989</v>
      </c>
      <c r="B11" s="44" t="s">
        <v>56</v>
      </c>
      <c r="C11" s="44">
        <v>506443</v>
      </c>
      <c r="D11" s="9">
        <v>200</v>
      </c>
      <c r="E11" s="9">
        <v>200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44989</v>
      </c>
      <c r="B12" s="44" t="s">
        <v>57</v>
      </c>
      <c r="C12" s="44">
        <v>506444</v>
      </c>
      <c r="D12" s="9">
        <v>100</v>
      </c>
      <c r="E12" s="9">
        <v>50</v>
      </c>
      <c r="F12" s="9">
        <v>50</v>
      </c>
      <c r="G12" s="9"/>
      <c r="H12" s="9"/>
      <c r="I12" s="9"/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44989</v>
      </c>
      <c r="B13" s="44" t="s">
        <v>58</v>
      </c>
      <c r="C13" s="44">
        <v>506445</v>
      </c>
      <c r="D13" s="9">
        <v>200</v>
      </c>
      <c r="E13" s="9">
        <v>100</v>
      </c>
      <c r="F13" s="9"/>
      <c r="G13" s="9"/>
      <c r="H13" s="9">
        <v>100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44989</v>
      </c>
      <c r="B14" s="44" t="s">
        <v>59</v>
      </c>
      <c r="C14" s="44">
        <v>506446</v>
      </c>
      <c r="D14" s="9">
        <v>700</v>
      </c>
      <c r="E14" s="9">
        <v>700</v>
      </c>
      <c r="F14" s="9"/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44989</v>
      </c>
      <c r="B15" s="44" t="s">
        <v>60</v>
      </c>
      <c r="C15" s="44">
        <v>506447</v>
      </c>
      <c r="D15" s="9">
        <v>700</v>
      </c>
      <c r="E15" s="9">
        <v>700</v>
      </c>
      <c r="F15" s="9"/>
      <c r="G15" s="9"/>
      <c r="H15" s="9"/>
      <c r="I15" s="9"/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44989</v>
      </c>
      <c r="B16" s="44" t="s">
        <v>61</v>
      </c>
      <c r="C16" s="44">
        <v>506448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44989</v>
      </c>
      <c r="B17" s="44" t="s">
        <v>62</v>
      </c>
      <c r="C17" s="44">
        <v>506449</v>
      </c>
      <c r="D17" s="9">
        <v>200</v>
      </c>
      <c r="E17" s="9">
        <v>100</v>
      </c>
      <c r="F17" s="9"/>
      <c r="G17" s="9"/>
      <c r="H17" s="9"/>
      <c r="I17" s="9">
        <v>100</v>
      </c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44989</v>
      </c>
      <c r="B18" s="44" t="s">
        <v>63</v>
      </c>
      <c r="C18" s="44">
        <v>506450</v>
      </c>
      <c r="D18" s="9">
        <v>600</v>
      </c>
      <c r="E18" s="9"/>
      <c r="F18" s="9">
        <v>300</v>
      </c>
      <c r="G18" s="9"/>
      <c r="H18" s="9"/>
      <c r="I18" s="9">
        <v>300</v>
      </c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44989</v>
      </c>
      <c r="B19" s="44" t="s">
        <v>52</v>
      </c>
      <c r="C19" s="44">
        <v>506451</v>
      </c>
      <c r="D19" s="9">
        <v>1000</v>
      </c>
      <c r="E19" s="9"/>
      <c r="F19" s="9">
        <v>1000</v>
      </c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44989</v>
      </c>
      <c r="B20" s="44" t="s">
        <v>64</v>
      </c>
      <c r="C20" s="44">
        <v>506452</v>
      </c>
      <c r="D20" s="9">
        <v>300</v>
      </c>
      <c r="E20" s="9">
        <v>300</v>
      </c>
      <c r="F20" s="9"/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44989</v>
      </c>
      <c r="B21" s="44" t="s">
        <v>65</v>
      </c>
      <c r="C21" s="44">
        <v>506453</v>
      </c>
      <c r="D21" s="9">
        <v>6000</v>
      </c>
      <c r="E21" s="9">
        <v>5700</v>
      </c>
      <c r="F21" s="9">
        <v>300</v>
      </c>
      <c r="G21" s="9"/>
      <c r="H21" s="9"/>
      <c r="I21" s="9"/>
      <c r="J21" s="9"/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44989</v>
      </c>
      <c r="B22" s="44" t="s">
        <v>66</v>
      </c>
      <c r="C22" s="44">
        <v>506454</v>
      </c>
      <c r="D22" s="9">
        <v>100</v>
      </c>
      <c r="E22" s="9"/>
      <c r="F22" s="9">
        <v>100</v>
      </c>
      <c r="G22" s="9"/>
      <c r="H22" s="9"/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44989</v>
      </c>
      <c r="B23" s="44" t="s">
        <v>67</v>
      </c>
      <c r="C23" s="44">
        <v>506455</v>
      </c>
      <c r="D23" s="9">
        <v>200</v>
      </c>
      <c r="E23" s="9"/>
      <c r="F23" s="9">
        <v>50</v>
      </c>
      <c r="G23" s="9"/>
      <c r="H23" s="9">
        <v>150</v>
      </c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44989</v>
      </c>
      <c r="B24" s="44" t="s">
        <v>68</v>
      </c>
      <c r="C24" s="44">
        <v>506456</v>
      </c>
      <c r="D24" s="9">
        <v>200</v>
      </c>
      <c r="E24" s="9">
        <v>100</v>
      </c>
      <c r="F24" s="9"/>
      <c r="G24" s="9"/>
      <c r="H24" s="9"/>
      <c r="I24" s="9">
        <v>100</v>
      </c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44989</v>
      </c>
      <c r="B25" s="44" t="s">
        <v>69</v>
      </c>
      <c r="C25" s="44">
        <v>506457</v>
      </c>
      <c r="D25" s="9">
        <v>200</v>
      </c>
      <c r="E25" s="9"/>
      <c r="F25" s="9"/>
      <c r="G25" s="9">
        <v>100</v>
      </c>
      <c r="H25" s="9"/>
      <c r="I25" s="9">
        <v>100</v>
      </c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44989</v>
      </c>
      <c r="B26" s="44" t="s">
        <v>70</v>
      </c>
      <c r="C26" s="44">
        <v>506458</v>
      </c>
      <c r="D26" s="9">
        <v>100</v>
      </c>
      <c r="E26" s="9"/>
      <c r="F26" s="9">
        <v>50</v>
      </c>
      <c r="G26" s="9"/>
      <c r="H26" s="9"/>
      <c r="I26" s="9"/>
      <c r="J26" s="9"/>
      <c r="K26" s="9">
        <v>50</v>
      </c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44989</v>
      </c>
      <c r="B27" s="44" t="s">
        <v>71</v>
      </c>
      <c r="C27" s="44">
        <v>506459</v>
      </c>
      <c r="D27" s="9">
        <v>200</v>
      </c>
      <c r="E27" s="9"/>
      <c r="F27" s="9">
        <v>200</v>
      </c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44989</v>
      </c>
      <c r="B28" s="44" t="s">
        <v>72</v>
      </c>
      <c r="C28" s="44">
        <v>506460</v>
      </c>
      <c r="D28" s="9">
        <v>240</v>
      </c>
      <c r="E28" s="9">
        <v>240</v>
      </c>
      <c r="F28" s="9"/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44989</v>
      </c>
      <c r="B29" s="44" t="s">
        <v>73</v>
      </c>
      <c r="C29" s="44">
        <v>506461</v>
      </c>
      <c r="D29" s="9">
        <v>50</v>
      </c>
      <c r="E29" s="9"/>
      <c r="F29" s="9">
        <v>50</v>
      </c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44989</v>
      </c>
      <c r="B30" s="44" t="s">
        <v>74</v>
      </c>
      <c r="C30" s="44">
        <v>506462</v>
      </c>
      <c r="D30" s="9">
        <v>100</v>
      </c>
      <c r="E30" s="9"/>
      <c r="F30" s="9"/>
      <c r="G30" s="9"/>
      <c r="H30" s="9"/>
      <c r="I30" s="9"/>
      <c r="J30" s="9"/>
      <c r="K30" s="9">
        <v>100</v>
      </c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44989</v>
      </c>
      <c r="B31" s="44" t="s">
        <v>75</v>
      </c>
      <c r="C31" s="44">
        <v>506463</v>
      </c>
      <c r="D31" s="9">
        <v>500</v>
      </c>
      <c r="E31" s="9"/>
      <c r="F31" s="9">
        <v>500</v>
      </c>
      <c r="G31" s="9"/>
      <c r="H31" s="9"/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44989</v>
      </c>
      <c r="B32" s="44" t="s">
        <v>76</v>
      </c>
      <c r="C32" s="44">
        <v>506464</v>
      </c>
      <c r="D32" s="9">
        <v>1000</v>
      </c>
      <c r="E32" s="9"/>
      <c r="F32" s="9">
        <v>500</v>
      </c>
      <c r="G32" s="9"/>
      <c r="H32" s="9"/>
      <c r="I32" s="9">
        <v>500</v>
      </c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44989</v>
      </c>
      <c r="B33" s="44" t="s">
        <v>77</v>
      </c>
      <c r="C33" s="44">
        <v>506465</v>
      </c>
      <c r="D33" s="9">
        <v>100</v>
      </c>
      <c r="E33" s="9">
        <v>100</v>
      </c>
      <c r="F33" s="9"/>
      <c r="G33" s="9"/>
      <c r="H33" s="9"/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44989</v>
      </c>
      <c r="B34" s="44" t="s">
        <v>78</v>
      </c>
      <c r="C34" s="44">
        <v>506466</v>
      </c>
      <c r="D34" s="9">
        <v>2000</v>
      </c>
      <c r="E34" s="9"/>
      <c r="F34" s="9"/>
      <c r="G34" s="9"/>
      <c r="H34" s="9"/>
      <c r="I34" s="9">
        <v>2000</v>
      </c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44989</v>
      </c>
      <c r="B35" s="44" t="s">
        <v>79</v>
      </c>
      <c r="C35" s="44">
        <v>506467</v>
      </c>
      <c r="D35" s="9">
        <v>2200</v>
      </c>
      <c r="E35" s="9"/>
      <c r="F35" s="9">
        <v>2200</v>
      </c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44989</v>
      </c>
      <c r="B36" s="44" t="s">
        <v>80</v>
      </c>
      <c r="C36" s="44">
        <v>506468</v>
      </c>
      <c r="D36" s="9">
        <v>5000</v>
      </c>
      <c r="E36" s="9">
        <v>4689</v>
      </c>
      <c r="F36" s="9"/>
      <c r="G36" s="9"/>
      <c r="H36" s="9"/>
      <c r="I36" s="9">
        <v>311</v>
      </c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44989</v>
      </c>
      <c r="B37" s="44" t="s">
        <v>81</v>
      </c>
      <c r="C37" s="44">
        <v>506469</v>
      </c>
      <c r="D37" s="9">
        <v>500</v>
      </c>
      <c r="E37" s="9">
        <v>500</v>
      </c>
      <c r="F37" s="9"/>
      <c r="G37" s="9"/>
      <c r="H37" s="9"/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44989</v>
      </c>
      <c r="B38" s="44" t="s">
        <v>82</v>
      </c>
      <c r="C38" s="44">
        <v>506470</v>
      </c>
      <c r="D38" s="9">
        <v>300</v>
      </c>
      <c r="E38" s="9">
        <v>250</v>
      </c>
      <c r="F38" s="9">
        <v>50</v>
      </c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44989</v>
      </c>
      <c r="B39" s="44" t="s">
        <v>83</v>
      </c>
      <c r="C39" s="44">
        <v>506471</v>
      </c>
      <c r="D39" s="9">
        <v>3500</v>
      </c>
      <c r="E39" s="9">
        <v>3500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44989</v>
      </c>
      <c r="B40" s="44" t="s">
        <v>84</v>
      </c>
      <c r="C40" s="44">
        <v>506472</v>
      </c>
      <c r="D40" s="9">
        <v>1000</v>
      </c>
      <c r="E40" s="9"/>
      <c r="F40" s="9"/>
      <c r="G40" s="9"/>
      <c r="H40" s="9"/>
      <c r="I40" s="9">
        <v>1000</v>
      </c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44989</v>
      </c>
      <c r="B41" s="44" t="s">
        <v>85</v>
      </c>
      <c r="C41" s="44">
        <v>506473</v>
      </c>
      <c r="D41" s="9">
        <v>29000</v>
      </c>
      <c r="E41" s="9">
        <v>20800</v>
      </c>
      <c r="F41" s="9"/>
      <c r="G41" s="9"/>
      <c r="H41" s="9">
        <v>5200</v>
      </c>
      <c r="I41" s="9"/>
      <c r="J41" s="9"/>
      <c r="K41" s="9"/>
      <c r="L41" s="9"/>
      <c r="M41" s="9">
        <v>2000</v>
      </c>
      <c r="N41" s="9">
        <v>1000</v>
      </c>
      <c r="O41" s="44"/>
      <c r="P41" s="44"/>
      <c r="Q41" s="44"/>
      <c r="R41" s="44"/>
    </row>
    <row r="42" spans="1:18" x14ac:dyDescent="0.2">
      <c r="A42" s="43">
        <v>44989</v>
      </c>
      <c r="B42" s="44" t="s">
        <v>86</v>
      </c>
      <c r="C42" s="44">
        <v>506474</v>
      </c>
      <c r="D42" s="9">
        <v>100</v>
      </c>
      <c r="E42" s="9"/>
      <c r="F42" s="9"/>
      <c r="G42" s="9"/>
      <c r="H42" s="9"/>
      <c r="I42" s="9">
        <v>100</v>
      </c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44989</v>
      </c>
      <c r="B43" s="44" t="s">
        <v>87</v>
      </c>
      <c r="C43" s="44">
        <v>506475</v>
      </c>
      <c r="D43" s="9">
        <v>2000</v>
      </c>
      <c r="E43" s="9">
        <v>1600</v>
      </c>
      <c r="F43" s="9">
        <v>400</v>
      </c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44989</v>
      </c>
      <c r="B44" s="44" t="s">
        <v>88</v>
      </c>
      <c r="C44" s="44">
        <v>506476</v>
      </c>
      <c r="D44" s="9">
        <v>100</v>
      </c>
      <c r="E44" s="9"/>
      <c r="F44" s="9"/>
      <c r="G44" s="9"/>
      <c r="H44" s="9"/>
      <c r="I44" s="9"/>
      <c r="J44" s="9">
        <v>100</v>
      </c>
      <c r="K44" s="9"/>
      <c r="L44" s="9"/>
      <c r="M44" s="9"/>
      <c r="N44" s="9"/>
      <c r="O44" s="44"/>
      <c r="P44" s="44"/>
      <c r="Q44" s="44"/>
      <c r="R44" s="44"/>
    </row>
    <row r="45" spans="1:18" s="10" customFormat="1" x14ac:dyDescent="0.2">
      <c r="A45" s="45">
        <v>44989</v>
      </c>
      <c r="B45" s="46" t="s">
        <v>89</v>
      </c>
      <c r="C45" s="46">
        <v>506477</v>
      </c>
      <c r="D45" s="11">
        <v>110000</v>
      </c>
      <c r="E45" s="11">
        <v>40000</v>
      </c>
      <c r="F45" s="11"/>
      <c r="G45" s="11"/>
      <c r="H45" s="11"/>
      <c r="I45" s="11">
        <v>70000</v>
      </c>
      <c r="J45" s="11"/>
      <c r="K45" s="11"/>
      <c r="L45" s="11"/>
      <c r="M45" s="11"/>
      <c r="N45" s="11"/>
      <c r="O45" s="46"/>
      <c r="P45" s="46"/>
      <c r="Q45" s="46"/>
      <c r="R45" s="46"/>
    </row>
    <row r="46" spans="1:18" x14ac:dyDescent="0.2">
      <c r="A46" s="43">
        <v>44989</v>
      </c>
      <c r="B46" s="44" t="s">
        <v>90</v>
      </c>
      <c r="C46" s="44">
        <v>506478</v>
      </c>
      <c r="D46" s="9">
        <v>200</v>
      </c>
      <c r="E46" s="9"/>
      <c r="F46" s="9"/>
      <c r="G46" s="9"/>
      <c r="H46" s="9"/>
      <c r="I46" s="9">
        <v>200</v>
      </c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44989</v>
      </c>
      <c r="B47" s="44" t="s">
        <v>91</v>
      </c>
      <c r="C47" s="44">
        <v>506479</v>
      </c>
      <c r="D47" s="9">
        <v>1000</v>
      </c>
      <c r="E47" s="9">
        <v>800</v>
      </c>
      <c r="F47" s="9">
        <v>200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44989</v>
      </c>
      <c r="B48" s="44" t="s">
        <v>92</v>
      </c>
      <c r="C48" s="44">
        <v>506480</v>
      </c>
      <c r="D48" s="9">
        <v>100</v>
      </c>
      <c r="E48" s="9">
        <v>100</v>
      </c>
      <c r="F48" s="9"/>
      <c r="G48" s="9"/>
      <c r="H48" s="9"/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44989</v>
      </c>
      <c r="B49" s="44" t="s">
        <v>93</v>
      </c>
      <c r="C49" s="44">
        <v>506481</v>
      </c>
      <c r="D49" s="9">
        <v>600</v>
      </c>
      <c r="E49" s="9">
        <v>600</v>
      </c>
      <c r="F49" s="9"/>
      <c r="G49" s="9"/>
      <c r="H49" s="9"/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44989</v>
      </c>
      <c r="B50" s="44" t="s">
        <v>94</v>
      </c>
      <c r="C50" s="44">
        <v>506482</v>
      </c>
      <c r="D50" s="9">
        <v>13000</v>
      </c>
      <c r="E50" s="9">
        <v>13000</v>
      </c>
      <c r="F50" s="9"/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44989</v>
      </c>
      <c r="B51" s="44" t="s">
        <v>95</v>
      </c>
      <c r="C51" s="44">
        <v>506483</v>
      </c>
      <c r="D51" s="9">
        <v>2300</v>
      </c>
      <c r="E51" s="9">
        <v>2300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44989</v>
      </c>
      <c r="B52" s="44" t="s">
        <v>96</v>
      </c>
      <c r="C52" s="44">
        <v>506484</v>
      </c>
      <c r="D52" s="9">
        <v>5972</v>
      </c>
      <c r="E52" s="9">
        <v>5072</v>
      </c>
      <c r="F52" s="9"/>
      <c r="G52" s="9"/>
      <c r="H52" s="9"/>
      <c r="I52" s="9">
        <v>100</v>
      </c>
      <c r="J52" s="9"/>
      <c r="K52" s="9"/>
      <c r="L52" s="9"/>
      <c r="M52" s="9">
        <v>800</v>
      </c>
      <c r="N52" s="9"/>
      <c r="O52" s="44"/>
      <c r="P52" s="44"/>
      <c r="Q52" s="44"/>
      <c r="R52" s="44"/>
    </row>
    <row r="53" spans="1:18" x14ac:dyDescent="0.2">
      <c r="A53" s="43">
        <v>44989</v>
      </c>
      <c r="B53" s="44" t="s">
        <v>97</v>
      </c>
      <c r="C53" s="44">
        <v>506485</v>
      </c>
      <c r="D53" s="9">
        <v>500</v>
      </c>
      <c r="E53" s="9">
        <v>500</v>
      </c>
      <c r="F53" s="9"/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44989</v>
      </c>
      <c r="B54" s="44" t="s">
        <v>98</v>
      </c>
      <c r="C54" s="44">
        <v>506486</v>
      </c>
      <c r="D54" s="9">
        <v>15000</v>
      </c>
      <c r="E54" s="9"/>
      <c r="F54" s="9"/>
      <c r="G54" s="9"/>
      <c r="H54" s="9">
        <v>15000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44989</v>
      </c>
      <c r="B55" s="44" t="s">
        <v>99</v>
      </c>
      <c r="C55" s="44">
        <v>506487</v>
      </c>
      <c r="D55" s="9">
        <v>300</v>
      </c>
      <c r="E55" s="9">
        <v>300</v>
      </c>
      <c r="F55" s="9"/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44989</v>
      </c>
      <c r="B56" s="44" t="s">
        <v>100</v>
      </c>
      <c r="C56" s="44">
        <v>506488</v>
      </c>
      <c r="D56" s="9">
        <v>8100</v>
      </c>
      <c r="E56" s="9">
        <v>8000</v>
      </c>
      <c r="F56" s="9"/>
      <c r="G56" s="9"/>
      <c r="H56" s="9"/>
      <c r="I56" s="9">
        <v>100</v>
      </c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44989</v>
      </c>
      <c r="B57" s="44" t="s">
        <v>101</v>
      </c>
      <c r="C57" s="44">
        <v>506489</v>
      </c>
      <c r="D57" s="9">
        <v>210</v>
      </c>
      <c r="E57" s="9">
        <v>210</v>
      </c>
      <c r="F57" s="9"/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44989</v>
      </c>
      <c r="B58" s="44" t="s">
        <v>102</v>
      </c>
      <c r="C58" s="44">
        <v>506490</v>
      </c>
      <c r="D58" s="9">
        <v>2100</v>
      </c>
      <c r="E58" s="9">
        <v>2100</v>
      </c>
      <c r="F58" s="9"/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44989</v>
      </c>
      <c r="B59" s="44" t="s">
        <v>103</v>
      </c>
      <c r="C59" s="44">
        <v>506491</v>
      </c>
      <c r="D59" s="9">
        <v>12700</v>
      </c>
      <c r="E59" s="9">
        <v>12700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44989</v>
      </c>
      <c r="B60" s="44" t="s">
        <v>104</v>
      </c>
      <c r="C60" s="44">
        <v>506492</v>
      </c>
      <c r="D60" s="9">
        <v>500</v>
      </c>
      <c r="E60" s="9"/>
      <c r="F60" s="9"/>
      <c r="G60" s="9"/>
      <c r="H60" s="9">
        <v>500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44989</v>
      </c>
      <c r="B61" s="44" t="s">
        <v>105</v>
      </c>
      <c r="C61" s="44">
        <v>506493</v>
      </c>
      <c r="D61" s="9">
        <v>7500</v>
      </c>
      <c r="E61" s="9">
        <v>6000</v>
      </c>
      <c r="F61" s="9"/>
      <c r="G61" s="9"/>
      <c r="H61" s="9"/>
      <c r="I61" s="9">
        <v>1500</v>
      </c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44989</v>
      </c>
      <c r="B62" s="46" t="s">
        <v>106</v>
      </c>
      <c r="C62" s="46">
        <v>506494</v>
      </c>
      <c r="D62" s="11">
        <v>9918</v>
      </c>
      <c r="E62" s="11">
        <v>4959</v>
      </c>
      <c r="F62" s="11"/>
      <c r="G62" s="11"/>
      <c r="H62" s="11"/>
      <c r="I62" s="11">
        <v>4959</v>
      </c>
      <c r="J62" s="11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44989</v>
      </c>
      <c r="B63" s="44" t="s">
        <v>101</v>
      </c>
      <c r="C63" s="44">
        <v>506495</v>
      </c>
      <c r="D63" s="9">
        <v>1000</v>
      </c>
      <c r="E63" s="9"/>
      <c r="F63" s="9"/>
      <c r="G63" s="9"/>
      <c r="H63" s="9"/>
      <c r="I63" s="9"/>
      <c r="J63" s="9"/>
      <c r="K63" s="9"/>
      <c r="L63" s="9"/>
      <c r="M63" s="9"/>
      <c r="N63" s="9">
        <v>1000</v>
      </c>
      <c r="O63" s="44"/>
      <c r="P63" s="44"/>
      <c r="Q63" s="44"/>
      <c r="R63" s="44"/>
    </row>
    <row r="64" spans="1:18" x14ac:dyDescent="0.2">
      <c r="A64" s="43">
        <v>44989</v>
      </c>
      <c r="B64" s="44" t="s">
        <v>107</v>
      </c>
      <c r="C64" s="44">
        <v>506496</v>
      </c>
      <c r="D64" s="9">
        <v>5000</v>
      </c>
      <c r="E64" s="9"/>
      <c r="F64" s="9"/>
      <c r="G64" s="9"/>
      <c r="H64" s="9">
        <v>5000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44989</v>
      </c>
      <c r="B65" s="44" t="s">
        <v>108</v>
      </c>
      <c r="C65" s="44">
        <v>506497</v>
      </c>
      <c r="D65" s="9">
        <v>200</v>
      </c>
      <c r="E65" s="9"/>
      <c r="F65" s="9">
        <v>200</v>
      </c>
      <c r="G65" s="9"/>
      <c r="H65" s="9"/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44989</v>
      </c>
      <c r="B66" s="44" t="s">
        <v>109</v>
      </c>
      <c r="C66" s="44">
        <v>506498</v>
      </c>
      <c r="D66" s="9">
        <v>400</v>
      </c>
      <c r="E66" s="9">
        <v>400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44989</v>
      </c>
      <c r="B67" s="44" t="s">
        <v>68</v>
      </c>
      <c r="C67" s="44">
        <v>506499</v>
      </c>
      <c r="D67" s="9">
        <v>1600</v>
      </c>
      <c r="E67" s="9"/>
      <c r="F67" s="9"/>
      <c r="G67" s="9"/>
      <c r="H67" s="9"/>
      <c r="I67" s="9"/>
      <c r="J67" s="9"/>
      <c r="K67" s="9"/>
      <c r="L67" s="9"/>
      <c r="M67" s="9">
        <v>1600</v>
      </c>
      <c r="N67" s="9"/>
      <c r="O67" s="44"/>
      <c r="P67" s="44"/>
      <c r="Q67" s="44"/>
      <c r="R67" s="44"/>
    </row>
    <row r="68" spans="1:18" x14ac:dyDescent="0.2">
      <c r="A68" s="43">
        <v>44989</v>
      </c>
      <c r="B68" s="44" t="s">
        <v>110</v>
      </c>
      <c r="C68" s="44">
        <v>506500</v>
      </c>
      <c r="D68" s="9">
        <v>10000</v>
      </c>
      <c r="E68" s="9">
        <v>10000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44989</v>
      </c>
      <c r="B69" s="44" t="s">
        <v>111</v>
      </c>
      <c r="C69" s="44">
        <v>506501</v>
      </c>
      <c r="D69" s="9">
        <v>415</v>
      </c>
      <c r="E69" s="9">
        <v>415</v>
      </c>
      <c r="F69" s="9"/>
      <c r="G69" s="9"/>
      <c r="H69" s="9"/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44989</v>
      </c>
      <c r="B70" s="44" t="s">
        <v>112</v>
      </c>
      <c r="C70" s="44">
        <v>506502</v>
      </c>
      <c r="D70" s="9">
        <v>6000</v>
      </c>
      <c r="E70" s="9">
        <v>3000</v>
      </c>
      <c r="F70" s="9"/>
      <c r="G70" s="9"/>
      <c r="H70" s="9">
        <v>3000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44989</v>
      </c>
      <c r="B71" s="44" t="s">
        <v>113</v>
      </c>
      <c r="C71" s="44">
        <v>506503</v>
      </c>
      <c r="D71" s="9">
        <v>1000</v>
      </c>
      <c r="E71" s="9"/>
      <c r="F71" s="9"/>
      <c r="G71" s="9"/>
      <c r="H71" s="9"/>
      <c r="I71" s="9">
        <v>500</v>
      </c>
      <c r="J71" s="9"/>
      <c r="K71" s="9"/>
      <c r="L71" s="9">
        <v>200</v>
      </c>
      <c r="M71" s="9"/>
      <c r="N71" s="9"/>
      <c r="O71" s="44"/>
      <c r="P71" s="44"/>
      <c r="Q71" s="44"/>
      <c r="R71" s="44"/>
    </row>
    <row r="72" spans="1:18" x14ac:dyDescent="0.2">
      <c r="A72" s="43">
        <v>44989</v>
      </c>
      <c r="B72" s="44" t="s">
        <v>114</v>
      </c>
      <c r="C72" s="44">
        <v>506504</v>
      </c>
      <c r="D72" s="9">
        <v>4000</v>
      </c>
      <c r="E72" s="9"/>
      <c r="F72" s="9"/>
      <c r="G72" s="9"/>
      <c r="H72" s="9"/>
      <c r="I72" s="9"/>
      <c r="J72" s="9"/>
      <c r="K72" s="9"/>
      <c r="L72" s="9"/>
      <c r="M72" s="9">
        <v>4000</v>
      </c>
      <c r="N72" s="9"/>
      <c r="O72" s="44"/>
      <c r="P72" s="44"/>
      <c r="Q72" s="44"/>
      <c r="R72" s="44"/>
    </row>
    <row r="73" spans="1:18" x14ac:dyDescent="0.2">
      <c r="A73" s="43">
        <v>44989</v>
      </c>
      <c r="B73" s="44" t="s">
        <v>115</v>
      </c>
      <c r="C73" s="44">
        <v>506505</v>
      </c>
      <c r="D73" s="9">
        <v>6400</v>
      </c>
      <c r="E73" s="9">
        <v>6400</v>
      </c>
      <c r="F73" s="9"/>
      <c r="G73" s="9"/>
      <c r="H73" s="9"/>
      <c r="I73" s="9"/>
      <c r="J73" s="9"/>
      <c r="K73" s="9"/>
      <c r="L73" s="9"/>
      <c r="M73" s="9"/>
      <c r="N73" s="9"/>
      <c r="O73" s="44"/>
      <c r="P73" s="44"/>
      <c r="Q73" s="44"/>
      <c r="R73" s="44"/>
    </row>
    <row r="74" spans="1:18" x14ac:dyDescent="0.2">
      <c r="A74" s="43">
        <v>44989</v>
      </c>
      <c r="B74" s="44" t="s">
        <v>116</v>
      </c>
      <c r="C74" s="44">
        <v>506506</v>
      </c>
      <c r="D74" s="9">
        <v>100</v>
      </c>
      <c r="E74" s="9">
        <v>100</v>
      </c>
      <c r="F74" s="9"/>
      <c r="G74" s="9"/>
      <c r="H74" s="9"/>
      <c r="I74" s="9"/>
      <c r="J74" s="9"/>
      <c r="K74" s="9"/>
      <c r="L74" s="9"/>
      <c r="M74" s="9"/>
      <c r="N74" s="9"/>
      <c r="O74" s="44"/>
      <c r="P74" s="44"/>
      <c r="Q74" s="44"/>
      <c r="R74" s="44"/>
    </row>
    <row r="75" spans="1:18" x14ac:dyDescent="0.2">
      <c r="A75" s="43">
        <v>44989</v>
      </c>
      <c r="B75" s="44" t="s">
        <v>117</v>
      </c>
      <c r="C75" s="44">
        <v>506507</v>
      </c>
      <c r="D75" s="9">
        <v>500</v>
      </c>
      <c r="E75" s="9"/>
      <c r="F75" s="9"/>
      <c r="G75" s="9"/>
      <c r="H75" s="9"/>
      <c r="I75" s="9">
        <v>500</v>
      </c>
      <c r="J75" s="9"/>
      <c r="K75" s="9"/>
      <c r="L75" s="9"/>
      <c r="M75" s="9"/>
      <c r="N75" s="9"/>
      <c r="O75" s="44"/>
      <c r="P75" s="44"/>
      <c r="Q75" s="44"/>
      <c r="R75" s="44"/>
    </row>
    <row r="76" spans="1:18" x14ac:dyDescent="0.2">
      <c r="A76" s="43">
        <v>44989</v>
      </c>
      <c r="B76" s="44" t="s">
        <v>118</v>
      </c>
      <c r="C76" s="44">
        <v>506508</v>
      </c>
      <c r="D76" s="9">
        <v>500</v>
      </c>
      <c r="E76" s="9"/>
      <c r="F76" s="9">
        <v>500</v>
      </c>
      <c r="G76" s="9"/>
      <c r="H76" s="9"/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44989</v>
      </c>
      <c r="B77" s="44" t="s">
        <v>119</v>
      </c>
      <c r="C77" s="44">
        <v>506509</v>
      </c>
      <c r="D77" s="9">
        <v>200</v>
      </c>
      <c r="E77" s="9"/>
      <c r="F77" s="9">
        <v>200</v>
      </c>
      <c r="G77" s="9"/>
      <c r="H77" s="9"/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44989</v>
      </c>
      <c r="B78" s="44" t="s">
        <v>120</v>
      </c>
      <c r="C78" s="44">
        <v>506510</v>
      </c>
      <c r="D78" s="9">
        <v>100</v>
      </c>
      <c r="E78" s="9">
        <v>100</v>
      </c>
      <c r="F78" s="9"/>
      <c r="G78" s="9"/>
      <c r="H78" s="9"/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44989</v>
      </c>
      <c r="B79" s="44" t="s">
        <v>121</v>
      </c>
      <c r="C79" s="44">
        <v>506511</v>
      </c>
      <c r="D79" s="9">
        <v>100</v>
      </c>
      <c r="E79" s="9"/>
      <c r="F79" s="9">
        <v>100</v>
      </c>
      <c r="G79" s="9"/>
      <c r="H79" s="9"/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44989</v>
      </c>
      <c r="B80" s="44" t="s">
        <v>122</v>
      </c>
      <c r="C80" s="44">
        <v>506512</v>
      </c>
      <c r="D80" s="9">
        <v>100</v>
      </c>
      <c r="E80" s="9"/>
      <c r="F80" s="9">
        <v>100</v>
      </c>
      <c r="G80" s="9"/>
      <c r="H80" s="9"/>
      <c r="I80" s="9"/>
      <c r="J80" s="9"/>
      <c r="K80" s="9"/>
      <c r="L80" s="9"/>
      <c r="M80" s="9"/>
      <c r="N80" s="9"/>
      <c r="O80" s="44"/>
      <c r="P80" s="44"/>
      <c r="Q80" s="44"/>
      <c r="R80" s="44"/>
    </row>
    <row r="81" spans="1:19" x14ac:dyDescent="0.2">
      <c r="A81" s="43">
        <v>44989</v>
      </c>
      <c r="B81" s="44" t="s">
        <v>123</v>
      </c>
      <c r="C81" s="44">
        <v>506513</v>
      </c>
      <c r="D81" s="9">
        <v>500</v>
      </c>
      <c r="E81" s="9"/>
      <c r="F81" s="9"/>
      <c r="G81" s="9"/>
      <c r="H81" s="9"/>
      <c r="I81" s="9">
        <v>300</v>
      </c>
      <c r="J81" s="9"/>
      <c r="K81" s="9"/>
      <c r="L81" s="9"/>
      <c r="M81" s="9"/>
      <c r="N81" s="9">
        <v>200</v>
      </c>
      <c r="O81" s="44">
        <v>300</v>
      </c>
      <c r="P81" s="44"/>
      <c r="Q81" s="44"/>
      <c r="R81" s="44"/>
    </row>
    <row r="82" spans="1:19" x14ac:dyDescent="0.2">
      <c r="A82" s="43">
        <v>44989</v>
      </c>
      <c r="B82" s="44" t="s">
        <v>124</v>
      </c>
      <c r="C82" s="44">
        <v>506514</v>
      </c>
      <c r="D82" s="9">
        <v>1200</v>
      </c>
      <c r="E82" s="9">
        <v>1200</v>
      </c>
      <c r="F82" s="9"/>
      <c r="G82" s="9"/>
      <c r="H82" s="9"/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9" x14ac:dyDescent="0.2">
      <c r="A83" s="43">
        <v>44989</v>
      </c>
      <c r="B83" s="44" t="s">
        <v>125</v>
      </c>
      <c r="C83" s="44">
        <v>506515</v>
      </c>
      <c r="D83" s="9">
        <v>200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44">
        <v>200</v>
      </c>
      <c r="P83" s="44"/>
      <c r="Q83" s="44"/>
      <c r="R83" s="44"/>
    </row>
    <row r="84" spans="1:19" x14ac:dyDescent="0.2">
      <c r="A84" s="43">
        <v>44989</v>
      </c>
      <c r="B84" s="44" t="s">
        <v>117</v>
      </c>
      <c r="C84" s="44">
        <v>506516</v>
      </c>
      <c r="D84" s="9">
        <v>4000</v>
      </c>
      <c r="E84" s="9"/>
      <c r="F84" s="9"/>
      <c r="G84" s="9"/>
      <c r="H84" s="9"/>
      <c r="I84" s="9"/>
      <c r="J84" s="9"/>
      <c r="K84" s="9"/>
      <c r="L84" s="9"/>
      <c r="M84" s="9">
        <v>4000</v>
      </c>
      <c r="N84" s="9"/>
      <c r="O84" s="44"/>
      <c r="P84" s="44"/>
      <c r="Q84" s="44"/>
      <c r="R84" s="44"/>
    </row>
    <row r="85" spans="1:19" x14ac:dyDescent="0.2">
      <c r="A85" s="43">
        <v>44989</v>
      </c>
      <c r="B85" s="44" t="s">
        <v>126</v>
      </c>
      <c r="C85" s="44">
        <v>506517</v>
      </c>
      <c r="D85" s="9">
        <v>5700</v>
      </c>
      <c r="E85" s="9">
        <v>5500</v>
      </c>
      <c r="F85" s="9">
        <v>200</v>
      </c>
      <c r="G85" s="9"/>
      <c r="H85" s="9"/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9" x14ac:dyDescent="0.2">
      <c r="A86" s="43">
        <v>44989</v>
      </c>
      <c r="B86" s="44" t="s">
        <v>93</v>
      </c>
      <c r="C86" s="44">
        <v>506518</v>
      </c>
      <c r="D86" s="9">
        <v>106000</v>
      </c>
      <c r="E86" s="9">
        <v>106000</v>
      </c>
      <c r="F86" s="9"/>
      <c r="G86" s="9"/>
      <c r="H86" s="9"/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9" x14ac:dyDescent="0.2">
      <c r="A87" s="43">
        <v>44989</v>
      </c>
      <c r="B87" s="44" t="s">
        <v>127</v>
      </c>
      <c r="C87" s="44">
        <v>506519</v>
      </c>
      <c r="D87" s="9">
        <v>300</v>
      </c>
      <c r="E87" s="9"/>
      <c r="F87" s="9">
        <v>300</v>
      </c>
      <c r="G87" s="9"/>
      <c r="H87" s="9"/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9" x14ac:dyDescent="0.2">
      <c r="A88" s="43">
        <v>44989</v>
      </c>
      <c r="B88" s="44" t="s">
        <v>128</v>
      </c>
      <c r="C88" s="44">
        <v>506520</v>
      </c>
      <c r="D88" s="9">
        <v>360</v>
      </c>
      <c r="E88" s="9">
        <v>360</v>
      </c>
      <c r="F88" s="9"/>
      <c r="G88" s="9"/>
      <c r="H88" s="9"/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9" x14ac:dyDescent="0.2">
      <c r="A89" s="43">
        <v>44989</v>
      </c>
      <c r="B89" s="44" t="s">
        <v>129</v>
      </c>
      <c r="C89" s="44">
        <v>506521</v>
      </c>
      <c r="D89" s="9">
        <v>2800</v>
      </c>
      <c r="E89" s="9">
        <v>1000</v>
      </c>
      <c r="F89" s="9">
        <v>200</v>
      </c>
      <c r="G89" s="9"/>
      <c r="H89" s="9"/>
      <c r="I89" s="9"/>
      <c r="J89" s="9"/>
      <c r="K89" s="9"/>
      <c r="L89" s="9"/>
      <c r="M89" s="9">
        <v>1600</v>
      </c>
      <c r="N89" s="9"/>
      <c r="O89" s="44"/>
      <c r="P89" s="44"/>
      <c r="Q89" s="44"/>
      <c r="R89" s="44"/>
    </row>
    <row r="90" spans="1:19" s="4" customFormat="1" x14ac:dyDescent="0.2">
      <c r="A90" s="2" t="s">
        <v>3</v>
      </c>
      <c r="B90" s="2"/>
      <c r="C90" s="2"/>
      <c r="D90" s="3">
        <f t="shared" ref="D90:R90" si="0">SUM(D4:D89)</f>
        <v>649276</v>
      </c>
      <c r="E90" s="3">
        <f t="shared" si="0"/>
        <v>281795</v>
      </c>
      <c r="F90" s="3">
        <f t="shared" si="0"/>
        <v>8160</v>
      </c>
      <c r="G90" s="3">
        <f t="shared" si="0"/>
        <v>100</v>
      </c>
      <c r="H90" s="3">
        <f t="shared" si="0"/>
        <v>248950</v>
      </c>
      <c r="I90" s="3">
        <f t="shared" si="0"/>
        <v>92821</v>
      </c>
      <c r="J90" s="3">
        <f t="shared" si="0"/>
        <v>100</v>
      </c>
      <c r="K90" s="3">
        <f t="shared" si="0"/>
        <v>150</v>
      </c>
      <c r="L90" s="3">
        <f t="shared" si="0"/>
        <v>200</v>
      </c>
      <c r="M90" s="3">
        <f t="shared" si="0"/>
        <v>14000</v>
      </c>
      <c r="N90" s="3">
        <f t="shared" si="0"/>
        <v>2200</v>
      </c>
      <c r="O90" s="3">
        <f t="shared" si="0"/>
        <v>500</v>
      </c>
      <c r="P90" s="3">
        <f t="shared" si="0"/>
        <v>0</v>
      </c>
      <c r="Q90" s="3">
        <f t="shared" si="0"/>
        <v>0</v>
      </c>
      <c r="R90" s="3">
        <f t="shared" si="0"/>
        <v>300</v>
      </c>
      <c r="S90" s="12">
        <f>SUM(E90:R90)</f>
        <v>649276</v>
      </c>
    </row>
    <row r="91" spans="1:19" x14ac:dyDescent="0.2">
      <c r="A91" s="13"/>
      <c r="B91" s="13"/>
      <c r="C91" s="13"/>
      <c r="D91" s="14"/>
      <c r="E91" s="14"/>
      <c r="F91" s="14"/>
      <c r="G91" s="14"/>
      <c r="H91" s="14"/>
      <c r="I91" s="14"/>
    </row>
    <row r="92" spans="1:19" x14ac:dyDescent="0.2">
      <c r="A92" s="13"/>
      <c r="B92" s="13"/>
      <c r="C92" s="13"/>
      <c r="D92" s="14"/>
      <c r="E92" s="14">
        <f>D90-S90</f>
        <v>0</v>
      </c>
      <c r="F92" s="14"/>
      <c r="G92" s="14"/>
      <c r="H92" s="14"/>
      <c r="I92" s="14"/>
    </row>
    <row r="93" spans="1:19" x14ac:dyDescent="0.2">
      <c r="A93" s="13"/>
      <c r="B93" s="15" t="s">
        <v>130</v>
      </c>
      <c r="C93" s="16"/>
      <c r="D93" s="14"/>
      <c r="E93" s="14"/>
      <c r="F93" s="14"/>
      <c r="G93" s="14"/>
      <c r="H93" s="14"/>
      <c r="I93" s="14"/>
    </row>
    <row r="94" spans="1:19" x14ac:dyDescent="0.2">
      <c r="A94" s="13"/>
      <c r="B94" s="15" t="s">
        <v>131</v>
      </c>
      <c r="C94" s="16"/>
      <c r="D94" s="14"/>
      <c r="E94" s="14"/>
      <c r="F94" s="14"/>
      <c r="G94" s="14"/>
      <c r="H94" s="14"/>
      <c r="I94" s="14"/>
    </row>
    <row r="95" spans="1:19" x14ac:dyDescent="0.2">
      <c r="A95" s="13"/>
      <c r="B95" s="17" t="s">
        <v>4</v>
      </c>
      <c r="C95" s="18">
        <f>E90</f>
        <v>281795</v>
      </c>
      <c r="D95" s="14"/>
      <c r="E95" s="14"/>
      <c r="F95" s="14"/>
      <c r="G95" s="14"/>
      <c r="H95" s="14"/>
      <c r="I95" s="14"/>
    </row>
    <row r="96" spans="1:19" x14ac:dyDescent="0.2">
      <c r="A96" s="13"/>
      <c r="B96" s="17" t="s">
        <v>132</v>
      </c>
      <c r="C96" s="19">
        <f>F90/2</f>
        <v>4080</v>
      </c>
      <c r="D96" s="14"/>
      <c r="E96" s="14"/>
      <c r="F96" s="14"/>
      <c r="G96" s="14"/>
      <c r="H96" s="14"/>
      <c r="I96" s="14"/>
    </row>
    <row r="97" spans="1:9" x14ac:dyDescent="0.2">
      <c r="A97" s="13"/>
      <c r="B97" s="17" t="s">
        <v>133</v>
      </c>
      <c r="C97" s="18">
        <f>G90</f>
        <v>100</v>
      </c>
      <c r="D97" s="14"/>
      <c r="E97" s="14"/>
      <c r="F97" s="14"/>
      <c r="G97" s="14"/>
      <c r="H97" s="14"/>
      <c r="I97" s="14"/>
    </row>
    <row r="98" spans="1:9" x14ac:dyDescent="0.2">
      <c r="A98" s="13"/>
      <c r="B98" s="17" t="s">
        <v>6</v>
      </c>
      <c r="C98" s="19">
        <f>J90/2</f>
        <v>50</v>
      </c>
      <c r="D98" s="14"/>
      <c r="E98" s="14"/>
      <c r="F98" s="14"/>
      <c r="G98" s="14"/>
      <c r="H98" s="14"/>
      <c r="I98" s="14"/>
    </row>
    <row r="99" spans="1:9" x14ac:dyDescent="0.2">
      <c r="B99" s="17" t="s">
        <v>134</v>
      </c>
      <c r="C99" s="18">
        <f>K90</f>
        <v>150</v>
      </c>
    </row>
    <row r="100" spans="1:9" x14ac:dyDescent="0.2">
      <c r="B100" s="17" t="s">
        <v>135</v>
      </c>
      <c r="C100" s="18">
        <f>Q90</f>
        <v>0</v>
      </c>
    </row>
    <row r="101" spans="1:9" x14ac:dyDescent="0.2">
      <c r="B101" s="17" t="s">
        <v>3</v>
      </c>
      <c r="C101" s="20">
        <f>SUM(C95:C100)</f>
        <v>286175</v>
      </c>
    </row>
    <row r="103" spans="1:9" x14ac:dyDescent="0.2">
      <c r="B103" s="15" t="s">
        <v>136</v>
      </c>
      <c r="C103" s="16"/>
    </row>
    <row r="104" spans="1:9" x14ac:dyDescent="0.2">
      <c r="B104" s="17" t="s">
        <v>132</v>
      </c>
      <c r="C104" s="19">
        <f>F90/2</f>
        <v>4080</v>
      </c>
    </row>
    <row r="105" spans="1:9" x14ac:dyDescent="0.2">
      <c r="B105" s="17" t="s">
        <v>137</v>
      </c>
      <c r="C105" s="17">
        <v>0</v>
      </c>
    </row>
    <row r="106" spans="1:9" x14ac:dyDescent="0.2">
      <c r="B106" s="17" t="s">
        <v>6</v>
      </c>
      <c r="C106" s="19">
        <f>J90/2</f>
        <v>50</v>
      </c>
    </row>
    <row r="107" spans="1:9" x14ac:dyDescent="0.2">
      <c r="B107" s="17" t="s">
        <v>138</v>
      </c>
      <c r="C107" s="18">
        <f>K90</f>
        <v>150</v>
      </c>
    </row>
    <row r="108" spans="1:9" x14ac:dyDescent="0.2">
      <c r="B108" s="17" t="s">
        <v>139</v>
      </c>
      <c r="C108" s="18">
        <f>H90</f>
        <v>248950</v>
      </c>
    </row>
    <row r="109" spans="1:9" x14ac:dyDescent="0.2">
      <c r="B109" s="17" t="s">
        <v>140</v>
      </c>
      <c r="C109" s="18">
        <f>N90</f>
        <v>2200</v>
      </c>
    </row>
    <row r="110" spans="1:9" x14ac:dyDescent="0.2">
      <c r="B110" s="17" t="s">
        <v>45</v>
      </c>
      <c r="C110" s="18">
        <f>O90</f>
        <v>500</v>
      </c>
    </row>
    <row r="111" spans="1:9" x14ac:dyDescent="0.2">
      <c r="B111" s="17" t="s">
        <v>141</v>
      </c>
      <c r="C111" s="18">
        <f>I90</f>
        <v>92821</v>
      </c>
    </row>
    <row r="112" spans="1:9" x14ac:dyDescent="0.2">
      <c r="B112" s="17" t="s">
        <v>142</v>
      </c>
      <c r="C112" s="18">
        <f>R90</f>
        <v>300</v>
      </c>
    </row>
    <row r="113" spans="2:3" x14ac:dyDescent="0.2">
      <c r="B113" s="17" t="s">
        <v>43</v>
      </c>
      <c r="C113" s="18">
        <f>M90</f>
        <v>14000</v>
      </c>
    </row>
    <row r="114" spans="2:3" x14ac:dyDescent="0.2">
      <c r="B114" s="17" t="s">
        <v>3</v>
      </c>
      <c r="C114" s="21">
        <f>SUM(C104:C113)</f>
        <v>363051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E21"/>
  <sheetViews>
    <sheetView topLeftCell="A2" workbookViewId="0">
      <selection activeCell="E4" sqref="E4"/>
    </sheetView>
  </sheetViews>
  <sheetFormatPr baseColWidth="10" defaultColWidth="8.6640625" defaultRowHeight="15" x14ac:dyDescent="0.2"/>
  <cols>
    <col min="3" max="3" width="43.5" customWidth="1"/>
    <col min="4" max="4" width="19.1640625" customWidth="1"/>
    <col min="5" max="5" width="24.6640625" customWidth="1"/>
  </cols>
  <sheetData>
    <row r="2" spans="3:5" s="4" customFormat="1" x14ac:dyDescent="0.2">
      <c r="C2" s="182" t="s">
        <v>143</v>
      </c>
      <c r="D2" s="182"/>
      <c r="E2" s="182"/>
    </row>
    <row r="3" spans="3:5" x14ac:dyDescent="0.2">
      <c r="C3" s="2" t="s">
        <v>144</v>
      </c>
      <c r="D3" s="2" t="s">
        <v>145</v>
      </c>
      <c r="E3" s="2" t="s">
        <v>146</v>
      </c>
    </row>
    <row r="4" spans="3:5" x14ac:dyDescent="0.2">
      <c r="C4" s="44" t="s">
        <v>147</v>
      </c>
      <c r="D4" s="43">
        <v>44989</v>
      </c>
      <c r="E4" s="9">
        <v>28820</v>
      </c>
    </row>
    <row r="5" spans="3:5" x14ac:dyDescent="0.2">
      <c r="C5" s="44" t="s">
        <v>148</v>
      </c>
      <c r="D5" s="43">
        <v>44989</v>
      </c>
      <c r="E5" s="9">
        <v>4000</v>
      </c>
    </row>
    <row r="6" spans="3:5" x14ac:dyDescent="0.2">
      <c r="C6" s="44" t="s">
        <v>149</v>
      </c>
      <c r="D6" s="43">
        <v>44989</v>
      </c>
      <c r="E6" s="9">
        <v>10000</v>
      </c>
    </row>
    <row r="7" spans="3:5" x14ac:dyDescent="0.2">
      <c r="C7" s="44" t="s">
        <v>150</v>
      </c>
      <c r="D7" s="43">
        <v>44989</v>
      </c>
      <c r="E7" s="9">
        <v>4000</v>
      </c>
    </row>
    <row r="8" spans="3:5" x14ac:dyDescent="0.2">
      <c r="C8" s="44" t="s">
        <v>151</v>
      </c>
      <c r="D8" s="43">
        <v>44989</v>
      </c>
      <c r="E8" s="9">
        <v>1200</v>
      </c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152</v>
      </c>
      <c r="D21" s="2"/>
      <c r="E21" s="9">
        <f>SUM(E4:E20)</f>
        <v>48020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226"/>
  <sheetViews>
    <sheetView workbookViewId="0">
      <pane ySplit="3" topLeftCell="A103" activePane="bottomLeft" state="frozen"/>
      <selection pane="bottomLeft" activeCell="E175" sqref="E175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6.5" style="6" customWidth="1"/>
    <col min="5" max="5" width="10.5" style="6" customWidth="1"/>
    <col min="6" max="6" width="22.6640625" style="6" customWidth="1"/>
    <col min="7" max="7" width="13.5" style="6" customWidth="1"/>
    <col min="8" max="8" width="21.5" style="6" customWidth="1"/>
    <col min="9" max="9" width="19.5" style="6" customWidth="1"/>
    <col min="10" max="10" width="13" style="6" customWidth="1"/>
    <col min="11" max="11" width="19.6640625" style="6" customWidth="1"/>
    <col min="12" max="12" width="15.5" style="6" customWidth="1"/>
    <col min="13" max="13" width="13.33203125" style="6" customWidth="1"/>
    <col min="14" max="14" width="9.1640625" style="6" customWidth="1"/>
    <col min="15" max="16" width="8.6640625" customWidth="1"/>
    <col min="17" max="17" width="10.5" customWidth="1"/>
    <col min="18" max="18" width="17.33203125" customWidth="1"/>
    <col min="19" max="19" width="11.6640625" hidden="1" customWidth="1"/>
  </cols>
  <sheetData>
    <row r="2" spans="1:18" s="4" customFormat="1" x14ac:dyDescent="0.2">
      <c r="A2" s="2"/>
      <c r="B2" s="2"/>
      <c r="C2" s="182" t="s">
        <v>153</v>
      </c>
      <c r="D2" s="182"/>
      <c r="E2" s="182"/>
      <c r="F2" s="182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2" customFormat="1" ht="43.5" customHeight="1" x14ac:dyDescent="0.2">
      <c r="A3" s="23" t="s">
        <v>31</v>
      </c>
      <c r="B3" s="23" t="s">
        <v>32</v>
      </c>
      <c r="C3" s="23" t="s">
        <v>33</v>
      </c>
      <c r="D3" s="24" t="s">
        <v>34</v>
      </c>
      <c r="E3" s="24" t="s">
        <v>35</v>
      </c>
      <c r="F3" s="24" t="s">
        <v>36</v>
      </c>
      <c r="G3" s="24" t="s">
        <v>37</v>
      </c>
      <c r="H3" s="24" t="s">
        <v>38</v>
      </c>
      <c r="I3" s="24" t="s">
        <v>39</v>
      </c>
      <c r="J3" s="24" t="s">
        <v>40</v>
      </c>
      <c r="K3" s="24" t="s">
        <v>41</v>
      </c>
      <c r="L3" s="24" t="s">
        <v>42</v>
      </c>
      <c r="M3" s="24" t="s">
        <v>43</v>
      </c>
      <c r="N3" s="24" t="s">
        <v>44</v>
      </c>
      <c r="O3" s="23" t="s">
        <v>45</v>
      </c>
      <c r="P3" s="23" t="s">
        <v>46</v>
      </c>
      <c r="Q3" s="23" t="s">
        <v>47</v>
      </c>
      <c r="R3" s="23" t="s">
        <v>48</v>
      </c>
    </row>
    <row r="4" spans="1:18" x14ac:dyDescent="0.2">
      <c r="A4" s="43">
        <v>44996</v>
      </c>
      <c r="B4" s="44" t="s">
        <v>154</v>
      </c>
      <c r="C4" s="44">
        <v>506522</v>
      </c>
      <c r="D4" s="9">
        <v>100</v>
      </c>
      <c r="E4" s="9"/>
      <c r="F4" s="9"/>
      <c r="G4" s="9"/>
      <c r="H4" s="9">
        <v>100</v>
      </c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44996</v>
      </c>
      <c r="B5" s="44" t="s">
        <v>155</v>
      </c>
      <c r="C5" s="44">
        <v>506523</v>
      </c>
      <c r="D5" s="9">
        <v>100</v>
      </c>
      <c r="E5" s="9">
        <v>50</v>
      </c>
      <c r="F5" s="9">
        <v>50</v>
      </c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44996</v>
      </c>
      <c r="B6" s="44" t="s">
        <v>156</v>
      </c>
      <c r="C6" s="44">
        <v>506524</v>
      </c>
      <c r="D6" s="9">
        <v>10000</v>
      </c>
      <c r="E6" s="9">
        <v>8000</v>
      </c>
      <c r="F6" s="9"/>
      <c r="G6" s="9"/>
      <c r="H6" s="9"/>
      <c r="I6" s="9">
        <v>2000</v>
      </c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44996</v>
      </c>
      <c r="B7" s="44" t="s">
        <v>157</v>
      </c>
      <c r="C7" s="44">
        <v>506525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44996</v>
      </c>
      <c r="B8" s="44" t="s">
        <v>158</v>
      </c>
      <c r="C8" s="44">
        <v>506526</v>
      </c>
      <c r="D8" s="9">
        <v>100</v>
      </c>
      <c r="E8" s="9"/>
      <c r="F8" s="9">
        <v>100</v>
      </c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44996</v>
      </c>
      <c r="B9" s="44" t="s">
        <v>71</v>
      </c>
      <c r="C9" s="44">
        <v>506527</v>
      </c>
      <c r="D9" s="9">
        <v>200</v>
      </c>
      <c r="E9" s="9"/>
      <c r="F9" s="9">
        <v>200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44996</v>
      </c>
      <c r="B10" s="44" t="s">
        <v>159</v>
      </c>
      <c r="C10" s="44">
        <v>506528</v>
      </c>
      <c r="D10" s="9">
        <v>1000</v>
      </c>
      <c r="E10" s="9">
        <v>1000</v>
      </c>
      <c r="F10" s="9"/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44996</v>
      </c>
      <c r="B11" s="44" t="s">
        <v>160</v>
      </c>
      <c r="C11" s="44">
        <v>506529</v>
      </c>
      <c r="D11" s="9">
        <v>20</v>
      </c>
      <c r="E11" s="9">
        <v>20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44996</v>
      </c>
      <c r="B12" s="44" t="s">
        <v>161</v>
      </c>
      <c r="C12" s="44">
        <v>506530</v>
      </c>
      <c r="D12" s="9">
        <v>500</v>
      </c>
      <c r="E12" s="9"/>
      <c r="F12" s="9">
        <v>300</v>
      </c>
      <c r="G12" s="9"/>
      <c r="H12" s="9"/>
      <c r="I12" s="9">
        <v>200</v>
      </c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44996</v>
      </c>
      <c r="B13" s="44" t="s">
        <v>162</v>
      </c>
      <c r="C13" s="44">
        <v>506531</v>
      </c>
      <c r="D13" s="9">
        <v>500</v>
      </c>
      <c r="E13" s="9"/>
      <c r="F13" s="9"/>
      <c r="G13" s="9"/>
      <c r="H13" s="9">
        <v>500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44996</v>
      </c>
      <c r="B14" s="44" t="s">
        <v>163</v>
      </c>
      <c r="C14" s="44">
        <v>506532</v>
      </c>
      <c r="D14" s="9">
        <v>3000</v>
      </c>
      <c r="E14" s="9"/>
      <c r="F14" s="9">
        <v>1000</v>
      </c>
      <c r="G14" s="9"/>
      <c r="H14" s="9">
        <v>2000</v>
      </c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44996</v>
      </c>
      <c r="B15" s="44" t="s">
        <v>69</v>
      </c>
      <c r="C15" s="44">
        <v>506533</v>
      </c>
      <c r="D15" s="9">
        <v>200</v>
      </c>
      <c r="E15" s="9"/>
      <c r="F15" s="9"/>
      <c r="G15" s="9">
        <v>100</v>
      </c>
      <c r="H15" s="9"/>
      <c r="I15" s="9">
        <v>50</v>
      </c>
      <c r="J15" s="9"/>
      <c r="K15" s="9">
        <v>50</v>
      </c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44996</v>
      </c>
      <c r="B16" s="44" t="s">
        <v>164</v>
      </c>
      <c r="C16" s="44">
        <v>506534</v>
      </c>
      <c r="D16" s="9">
        <v>4000</v>
      </c>
      <c r="E16" s="9">
        <v>3900</v>
      </c>
      <c r="F16" s="9">
        <v>100</v>
      </c>
      <c r="G16" s="9"/>
      <c r="H16" s="9"/>
      <c r="I16" s="9"/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44996</v>
      </c>
      <c r="B17" s="44" t="s">
        <v>58</v>
      </c>
      <c r="C17" s="44">
        <v>506535</v>
      </c>
      <c r="D17" s="9">
        <v>100</v>
      </c>
      <c r="E17" s="9">
        <v>100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44996</v>
      </c>
      <c r="B18" s="44" t="s">
        <v>165</v>
      </c>
      <c r="C18" s="44">
        <v>506536</v>
      </c>
      <c r="D18" s="9">
        <v>20</v>
      </c>
      <c r="E18" s="9">
        <v>20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44996</v>
      </c>
      <c r="B19" s="44" t="s">
        <v>166</v>
      </c>
      <c r="C19" s="44">
        <v>506537</v>
      </c>
      <c r="D19" s="9">
        <v>200</v>
      </c>
      <c r="E19" s="9">
        <v>200</v>
      </c>
      <c r="F19" s="9"/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44996</v>
      </c>
      <c r="B20" s="44" t="s">
        <v>63</v>
      </c>
      <c r="C20" s="44">
        <v>506538</v>
      </c>
      <c r="D20" s="9">
        <v>500</v>
      </c>
      <c r="E20" s="9"/>
      <c r="F20" s="9">
        <v>200</v>
      </c>
      <c r="G20" s="9"/>
      <c r="H20" s="9"/>
      <c r="I20" s="9">
        <v>300</v>
      </c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44996</v>
      </c>
      <c r="B21" s="44" t="s">
        <v>74</v>
      </c>
      <c r="C21" s="44">
        <v>506539</v>
      </c>
      <c r="D21" s="9">
        <v>500</v>
      </c>
      <c r="E21" s="9"/>
      <c r="F21" s="9"/>
      <c r="G21" s="9"/>
      <c r="H21" s="9"/>
      <c r="I21" s="9">
        <v>100</v>
      </c>
      <c r="J21" s="9">
        <v>400</v>
      </c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44996</v>
      </c>
      <c r="B22" s="44" t="s">
        <v>167</v>
      </c>
      <c r="C22" s="44">
        <v>506540</v>
      </c>
      <c r="D22" s="9">
        <v>20</v>
      </c>
      <c r="E22" s="9"/>
      <c r="F22" s="9"/>
      <c r="G22" s="9"/>
      <c r="H22" s="9">
        <v>20</v>
      </c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44996</v>
      </c>
      <c r="B23" s="44" t="s">
        <v>66</v>
      </c>
      <c r="C23" s="44">
        <v>506541</v>
      </c>
      <c r="D23" s="9">
        <v>750</v>
      </c>
      <c r="E23" s="9">
        <v>750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44996</v>
      </c>
      <c r="B24" s="44" t="s">
        <v>168</v>
      </c>
      <c r="C24" s="44">
        <v>506542</v>
      </c>
      <c r="D24" s="9">
        <v>100</v>
      </c>
      <c r="E24" s="9">
        <v>100</v>
      </c>
      <c r="F24" s="9"/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44996</v>
      </c>
      <c r="B25" s="44" t="s">
        <v>169</v>
      </c>
      <c r="C25" s="44">
        <v>506543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44996</v>
      </c>
      <c r="B26" s="44" t="s">
        <v>170</v>
      </c>
      <c r="C26" s="44">
        <v>506544</v>
      </c>
      <c r="D26" s="9">
        <v>500</v>
      </c>
      <c r="E26" s="9">
        <v>500</v>
      </c>
      <c r="F26" s="9"/>
      <c r="G26" s="9"/>
      <c r="H26" s="9"/>
      <c r="I26" s="9"/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44996</v>
      </c>
      <c r="B27" s="44" t="s">
        <v>171</v>
      </c>
      <c r="C27" s="44">
        <v>506545</v>
      </c>
      <c r="D27" s="9">
        <v>100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44"/>
      <c r="P27" s="44">
        <v>100</v>
      </c>
      <c r="Q27" s="44"/>
      <c r="R27" s="44"/>
    </row>
    <row r="28" spans="1:18" x14ac:dyDescent="0.2">
      <c r="A28" s="43">
        <v>44996</v>
      </c>
      <c r="B28" s="44" t="s">
        <v>54</v>
      </c>
      <c r="C28" s="44">
        <v>506546</v>
      </c>
      <c r="D28" s="9">
        <v>1000</v>
      </c>
      <c r="E28" s="9"/>
      <c r="F28" s="9">
        <v>200</v>
      </c>
      <c r="G28" s="9"/>
      <c r="H28" s="9"/>
      <c r="I28" s="9">
        <v>800</v>
      </c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44996</v>
      </c>
      <c r="B29" s="44" t="s">
        <v>172</v>
      </c>
      <c r="C29" s="44">
        <v>506547</v>
      </c>
      <c r="D29" s="9">
        <v>100</v>
      </c>
      <c r="E29" s="9"/>
      <c r="F29" s="9"/>
      <c r="G29" s="9"/>
      <c r="H29" s="9">
        <v>100</v>
      </c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44996</v>
      </c>
      <c r="B30" s="44" t="s">
        <v>173</v>
      </c>
      <c r="C30" s="44">
        <v>506548</v>
      </c>
      <c r="D30" s="9">
        <v>500</v>
      </c>
      <c r="E30" s="9"/>
      <c r="F30" s="9"/>
      <c r="G30" s="9"/>
      <c r="H30" s="9">
        <v>500</v>
      </c>
      <c r="I30" s="9"/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44996</v>
      </c>
      <c r="B31" s="44" t="s">
        <v>75</v>
      </c>
      <c r="C31" s="44">
        <v>506549</v>
      </c>
      <c r="D31" s="9">
        <v>500</v>
      </c>
      <c r="E31" s="9"/>
      <c r="F31" s="9"/>
      <c r="G31" s="9"/>
      <c r="H31" s="9">
        <v>500</v>
      </c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44996</v>
      </c>
      <c r="B32" s="44" t="s">
        <v>174</v>
      </c>
      <c r="C32" s="44">
        <v>506550</v>
      </c>
      <c r="D32" s="9">
        <v>100</v>
      </c>
      <c r="E32" s="9"/>
      <c r="F32" s="9"/>
      <c r="G32" s="9"/>
      <c r="H32" s="9">
        <v>100</v>
      </c>
      <c r="I32" s="9"/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44996</v>
      </c>
      <c r="B33" s="44" t="s">
        <v>175</v>
      </c>
      <c r="C33" s="44">
        <v>506551</v>
      </c>
      <c r="D33" s="9">
        <v>5000</v>
      </c>
      <c r="E33" s="9"/>
      <c r="F33" s="9"/>
      <c r="G33" s="9"/>
      <c r="H33" s="9">
        <v>5000</v>
      </c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44996</v>
      </c>
      <c r="B34" s="44" t="s">
        <v>63</v>
      </c>
      <c r="C34" s="44">
        <v>506552</v>
      </c>
      <c r="D34" s="9">
        <v>2000</v>
      </c>
      <c r="E34" s="9"/>
      <c r="F34" s="9"/>
      <c r="G34" s="9"/>
      <c r="H34" s="9">
        <v>2000</v>
      </c>
      <c r="I34" s="9"/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44996</v>
      </c>
      <c r="B35" s="44" t="s">
        <v>176</v>
      </c>
      <c r="C35" s="44">
        <v>506553</v>
      </c>
      <c r="D35" s="9">
        <v>1000</v>
      </c>
      <c r="E35" s="9"/>
      <c r="F35" s="9"/>
      <c r="G35" s="9"/>
      <c r="H35" s="9">
        <v>1000</v>
      </c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44996</v>
      </c>
      <c r="B36" s="44" t="s">
        <v>159</v>
      </c>
      <c r="C36" s="44">
        <v>506554</v>
      </c>
      <c r="D36" s="9">
        <v>1000</v>
      </c>
      <c r="E36" s="9"/>
      <c r="F36" s="9"/>
      <c r="G36" s="9"/>
      <c r="H36" s="9">
        <v>1000</v>
      </c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44996</v>
      </c>
      <c r="B37" s="44" t="s">
        <v>158</v>
      </c>
      <c r="C37" s="44">
        <v>506555</v>
      </c>
      <c r="D37" s="9">
        <v>500</v>
      </c>
      <c r="E37" s="9"/>
      <c r="F37" s="9"/>
      <c r="G37" s="9"/>
      <c r="H37" s="9">
        <v>500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44996</v>
      </c>
      <c r="B38" s="44" t="s">
        <v>177</v>
      </c>
      <c r="C38" s="44">
        <v>506556</v>
      </c>
      <c r="D38" s="9">
        <v>1000</v>
      </c>
      <c r="E38" s="9"/>
      <c r="F38" s="9"/>
      <c r="G38" s="9"/>
      <c r="H38" s="9">
        <v>1000</v>
      </c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44996</v>
      </c>
      <c r="B39" s="44" t="s">
        <v>178</v>
      </c>
      <c r="C39" s="44">
        <v>506557</v>
      </c>
      <c r="D39" s="9">
        <v>3000</v>
      </c>
      <c r="E39" s="9"/>
      <c r="F39" s="9"/>
      <c r="G39" s="9"/>
      <c r="H39" s="9">
        <v>3000</v>
      </c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44996</v>
      </c>
      <c r="B40" s="44" t="s">
        <v>67</v>
      </c>
      <c r="C40" s="44">
        <v>506558</v>
      </c>
      <c r="D40" s="9">
        <v>1150</v>
      </c>
      <c r="E40" s="9"/>
      <c r="F40" s="9">
        <v>50</v>
      </c>
      <c r="G40" s="9"/>
      <c r="H40" s="9">
        <v>1100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44996</v>
      </c>
      <c r="B41" s="44" t="s">
        <v>105</v>
      </c>
      <c r="C41" s="44">
        <v>506559</v>
      </c>
      <c r="D41" s="9">
        <v>35000</v>
      </c>
      <c r="E41" s="9"/>
      <c r="F41" s="9"/>
      <c r="G41" s="9"/>
      <c r="H41" s="9">
        <v>35000</v>
      </c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44996</v>
      </c>
      <c r="B42" s="44" t="s">
        <v>114</v>
      </c>
      <c r="C42" s="44">
        <v>506560</v>
      </c>
      <c r="D42" s="9">
        <v>1000</v>
      </c>
      <c r="E42" s="9"/>
      <c r="F42" s="9"/>
      <c r="G42" s="9"/>
      <c r="H42" s="9">
        <v>1000</v>
      </c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44996</v>
      </c>
      <c r="B43" s="44" t="s">
        <v>179</v>
      </c>
      <c r="C43" s="44">
        <v>506561</v>
      </c>
      <c r="D43" s="9">
        <v>10000</v>
      </c>
      <c r="E43" s="9"/>
      <c r="F43" s="9"/>
      <c r="G43" s="9"/>
      <c r="H43" s="9">
        <v>10000</v>
      </c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44996</v>
      </c>
      <c r="B44" s="44" t="s">
        <v>85</v>
      </c>
      <c r="C44" s="44">
        <v>506562</v>
      </c>
      <c r="D44" s="9">
        <v>1000</v>
      </c>
      <c r="E44" s="9"/>
      <c r="F44" s="9"/>
      <c r="G44" s="9"/>
      <c r="H44" s="9">
        <v>1000</v>
      </c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44996</v>
      </c>
      <c r="B45" s="44" t="s">
        <v>180</v>
      </c>
      <c r="C45" s="44">
        <v>506563</v>
      </c>
      <c r="D45" s="9">
        <v>200</v>
      </c>
      <c r="E45" s="9"/>
      <c r="F45" s="9"/>
      <c r="G45" s="9"/>
      <c r="H45" s="9">
        <v>200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44996</v>
      </c>
      <c r="B46" s="44" t="s">
        <v>181</v>
      </c>
      <c r="C46" s="44">
        <v>506564</v>
      </c>
      <c r="D46" s="9">
        <v>14000</v>
      </c>
      <c r="E46" s="9"/>
      <c r="F46" s="9"/>
      <c r="G46" s="9"/>
      <c r="H46" s="9">
        <v>14000</v>
      </c>
      <c r="I46" s="9"/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44996</v>
      </c>
      <c r="B47" s="44" t="s">
        <v>177</v>
      </c>
      <c r="C47" s="44">
        <v>506565</v>
      </c>
      <c r="D47" s="9">
        <v>1000</v>
      </c>
      <c r="E47" s="9"/>
      <c r="F47" s="9"/>
      <c r="G47" s="9"/>
      <c r="H47" s="9">
        <v>1000</v>
      </c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44996</v>
      </c>
      <c r="B48" s="44" t="s">
        <v>182</v>
      </c>
      <c r="C48" s="44">
        <v>506566</v>
      </c>
      <c r="D48" s="9">
        <v>200</v>
      </c>
      <c r="E48" s="9"/>
      <c r="F48" s="9"/>
      <c r="G48" s="9"/>
      <c r="H48" s="9">
        <v>200</v>
      </c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44996</v>
      </c>
      <c r="B49" s="44" t="s">
        <v>183</v>
      </c>
      <c r="C49" s="44">
        <v>506567</v>
      </c>
      <c r="D49" s="9">
        <v>3100</v>
      </c>
      <c r="E49" s="9"/>
      <c r="F49" s="9"/>
      <c r="G49" s="9"/>
      <c r="H49" s="9">
        <v>3100</v>
      </c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44996</v>
      </c>
      <c r="B50" s="44" t="s">
        <v>184</v>
      </c>
      <c r="C50" s="44">
        <v>506568</v>
      </c>
      <c r="D50" s="9">
        <v>50</v>
      </c>
      <c r="E50" s="9"/>
      <c r="F50" s="9"/>
      <c r="G50" s="9"/>
      <c r="H50" s="9">
        <v>50</v>
      </c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44996</v>
      </c>
      <c r="B51" s="44" t="s">
        <v>185</v>
      </c>
      <c r="C51" s="44">
        <v>506569</v>
      </c>
      <c r="D51" s="9">
        <v>500</v>
      </c>
      <c r="E51" s="9"/>
      <c r="F51" s="9"/>
      <c r="G51" s="9"/>
      <c r="H51" s="9">
        <v>500</v>
      </c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44996</v>
      </c>
      <c r="B52" s="44" t="s">
        <v>100</v>
      </c>
      <c r="C52" s="44">
        <v>506570</v>
      </c>
      <c r="D52" s="9">
        <v>1000</v>
      </c>
      <c r="E52" s="9"/>
      <c r="F52" s="9"/>
      <c r="G52" s="9"/>
      <c r="H52" s="9">
        <v>1000</v>
      </c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44996</v>
      </c>
      <c r="B53" s="44" t="s">
        <v>186</v>
      </c>
      <c r="C53" s="44">
        <v>506571</v>
      </c>
      <c r="D53" s="9">
        <v>200</v>
      </c>
      <c r="E53" s="9"/>
      <c r="F53" s="9"/>
      <c r="G53" s="9"/>
      <c r="H53" s="9">
        <v>200</v>
      </c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44996</v>
      </c>
      <c r="B54" s="44" t="s">
        <v>187</v>
      </c>
      <c r="C54" s="44">
        <v>506572</v>
      </c>
      <c r="D54" s="9">
        <v>1000</v>
      </c>
      <c r="E54" s="9"/>
      <c r="F54" s="9"/>
      <c r="G54" s="9"/>
      <c r="H54" s="9">
        <v>1000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44996</v>
      </c>
      <c r="B55" s="44" t="s">
        <v>188</v>
      </c>
      <c r="C55" s="44">
        <v>506573</v>
      </c>
      <c r="D55" s="9">
        <v>5000</v>
      </c>
      <c r="E55" s="9"/>
      <c r="F55" s="9"/>
      <c r="G55" s="9"/>
      <c r="H55" s="9">
        <v>5000</v>
      </c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44996</v>
      </c>
      <c r="B56" s="44" t="s">
        <v>109</v>
      </c>
      <c r="C56" s="44">
        <v>506574</v>
      </c>
      <c r="D56" s="9">
        <v>500</v>
      </c>
      <c r="E56" s="9"/>
      <c r="F56" s="9"/>
      <c r="G56" s="9"/>
      <c r="H56" s="9">
        <v>500</v>
      </c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44996</v>
      </c>
      <c r="B57" s="44" t="s">
        <v>189</v>
      </c>
      <c r="C57" s="44">
        <v>506575</v>
      </c>
      <c r="D57" s="9">
        <v>200</v>
      </c>
      <c r="E57" s="9"/>
      <c r="F57" s="9"/>
      <c r="G57" s="9"/>
      <c r="H57" s="9">
        <v>200</v>
      </c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44996</v>
      </c>
      <c r="B58" s="44" t="s">
        <v>190</v>
      </c>
      <c r="C58" s="44">
        <v>506576</v>
      </c>
      <c r="D58" s="9">
        <v>1000</v>
      </c>
      <c r="E58" s="9"/>
      <c r="F58" s="9"/>
      <c r="G58" s="9"/>
      <c r="H58" s="9">
        <v>900</v>
      </c>
      <c r="I58" s="9">
        <v>100</v>
      </c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44996</v>
      </c>
      <c r="B59" s="44" t="s">
        <v>191</v>
      </c>
      <c r="C59" s="44">
        <v>506577</v>
      </c>
      <c r="D59" s="9">
        <v>100</v>
      </c>
      <c r="E59" s="9"/>
      <c r="F59" s="9"/>
      <c r="G59" s="9"/>
      <c r="H59" s="9">
        <v>100</v>
      </c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44996</v>
      </c>
      <c r="B60" s="44" t="s">
        <v>192</v>
      </c>
      <c r="C60" s="44">
        <v>506578</v>
      </c>
      <c r="D60" s="9">
        <v>50</v>
      </c>
      <c r="E60" s="9"/>
      <c r="F60" s="9"/>
      <c r="G60" s="9"/>
      <c r="H60" s="9">
        <v>50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44996</v>
      </c>
      <c r="B61" s="44" t="s">
        <v>193</v>
      </c>
      <c r="C61" s="44">
        <v>506579</v>
      </c>
      <c r="D61" s="9">
        <v>200</v>
      </c>
      <c r="E61" s="9"/>
      <c r="F61" s="9"/>
      <c r="G61" s="9"/>
      <c r="H61" s="9">
        <v>200</v>
      </c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44996</v>
      </c>
      <c r="B62" s="44" t="s">
        <v>194</v>
      </c>
      <c r="C62" s="44">
        <v>506580</v>
      </c>
      <c r="D62" s="9">
        <v>4750</v>
      </c>
      <c r="E62" s="9">
        <v>2750</v>
      </c>
      <c r="F62" s="9"/>
      <c r="G62" s="9"/>
      <c r="H62" s="9">
        <v>2000</v>
      </c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44996</v>
      </c>
      <c r="B63" s="44" t="s">
        <v>195</v>
      </c>
      <c r="C63" s="44">
        <v>506581</v>
      </c>
      <c r="D63" s="9">
        <v>500</v>
      </c>
      <c r="E63" s="9">
        <v>500</v>
      </c>
      <c r="F63" s="9"/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44996</v>
      </c>
      <c r="B64" s="44" t="s">
        <v>195</v>
      </c>
      <c r="C64" s="44">
        <v>506582</v>
      </c>
      <c r="D64" s="9">
        <v>200</v>
      </c>
      <c r="E64" s="9"/>
      <c r="F64" s="9"/>
      <c r="G64" s="9"/>
      <c r="H64" s="9">
        <v>200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44996</v>
      </c>
      <c r="B65" s="44" t="s">
        <v>196</v>
      </c>
      <c r="C65" s="44">
        <v>506583</v>
      </c>
      <c r="D65" s="9">
        <v>500</v>
      </c>
      <c r="E65" s="9"/>
      <c r="F65" s="9"/>
      <c r="G65" s="9"/>
      <c r="H65" s="9">
        <v>500</v>
      </c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44996</v>
      </c>
      <c r="B66" s="44" t="s">
        <v>197</v>
      </c>
      <c r="C66" s="44">
        <v>506584</v>
      </c>
      <c r="D66" s="9">
        <v>6500</v>
      </c>
      <c r="E66" s="9"/>
      <c r="F66" s="9"/>
      <c r="G66" s="9"/>
      <c r="H66" s="9">
        <v>6500</v>
      </c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44996</v>
      </c>
      <c r="B67" s="44" t="s">
        <v>62</v>
      </c>
      <c r="C67" s="44">
        <v>506585</v>
      </c>
      <c r="D67" s="9">
        <v>2000</v>
      </c>
      <c r="E67" s="9"/>
      <c r="F67" s="9"/>
      <c r="G67" s="9"/>
      <c r="H67" s="9">
        <v>2000</v>
      </c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8" x14ac:dyDescent="0.2">
      <c r="A68" s="43">
        <v>44996</v>
      </c>
      <c r="B68" s="44" t="s">
        <v>53</v>
      </c>
      <c r="C68" s="44">
        <v>506586</v>
      </c>
      <c r="D68" s="9">
        <v>3000</v>
      </c>
      <c r="E68" s="9"/>
      <c r="F68" s="9"/>
      <c r="G68" s="9"/>
      <c r="H68" s="9">
        <v>3000</v>
      </c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44996</v>
      </c>
      <c r="B69" s="44" t="s">
        <v>198</v>
      </c>
      <c r="C69" s="44">
        <v>506587</v>
      </c>
      <c r="D69" s="9">
        <v>50</v>
      </c>
      <c r="E69" s="9"/>
      <c r="F69" s="9"/>
      <c r="G69" s="9"/>
      <c r="H69" s="9">
        <v>50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44996</v>
      </c>
      <c r="B70" s="44" t="s">
        <v>199</v>
      </c>
      <c r="C70" s="44">
        <v>506588</v>
      </c>
      <c r="D70" s="9">
        <v>100</v>
      </c>
      <c r="E70" s="9"/>
      <c r="F70" s="9"/>
      <c r="G70" s="9"/>
      <c r="H70" s="9">
        <v>100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44996</v>
      </c>
      <c r="B71" s="44" t="s">
        <v>54</v>
      </c>
      <c r="C71" s="44">
        <v>506589</v>
      </c>
      <c r="D71" s="9">
        <v>4000</v>
      </c>
      <c r="E71" s="9"/>
      <c r="F71" s="9"/>
      <c r="G71" s="9"/>
      <c r="H71" s="9"/>
      <c r="I71" s="9"/>
      <c r="J71" s="9"/>
      <c r="K71" s="9"/>
      <c r="L71" s="9"/>
      <c r="M71" s="9"/>
      <c r="N71" s="9">
        <v>4000</v>
      </c>
      <c r="O71" s="44"/>
      <c r="P71" s="44"/>
      <c r="Q71" s="44"/>
      <c r="R71" s="44"/>
    </row>
    <row r="72" spans="1:18" x14ac:dyDescent="0.2">
      <c r="A72" s="43">
        <v>44996</v>
      </c>
      <c r="B72" s="44" t="s">
        <v>74</v>
      </c>
      <c r="C72" s="44">
        <v>506590</v>
      </c>
      <c r="D72" s="9">
        <v>1000</v>
      </c>
      <c r="E72" s="9"/>
      <c r="F72" s="9"/>
      <c r="G72" s="9"/>
      <c r="H72" s="9"/>
      <c r="I72" s="9"/>
      <c r="J72" s="9"/>
      <c r="K72" s="9"/>
      <c r="L72" s="9"/>
      <c r="M72" s="9"/>
      <c r="N72" s="9">
        <v>1000</v>
      </c>
      <c r="O72" s="44"/>
      <c r="P72" s="44"/>
      <c r="Q72" s="44"/>
      <c r="R72" s="44"/>
    </row>
    <row r="73" spans="1:18" x14ac:dyDescent="0.2">
      <c r="A73" s="43">
        <v>44996</v>
      </c>
      <c r="B73" s="44" t="s">
        <v>62</v>
      </c>
      <c r="C73" s="44">
        <v>506591</v>
      </c>
      <c r="D73" s="9">
        <v>300</v>
      </c>
      <c r="E73" s="9"/>
      <c r="F73" s="9"/>
      <c r="G73" s="9"/>
      <c r="H73" s="9"/>
      <c r="I73" s="9"/>
      <c r="J73" s="9"/>
      <c r="K73" s="9"/>
      <c r="L73" s="9"/>
      <c r="M73" s="9"/>
      <c r="N73" s="9">
        <v>300</v>
      </c>
      <c r="O73" s="44"/>
      <c r="P73" s="44"/>
      <c r="Q73" s="44"/>
      <c r="R73" s="44"/>
    </row>
    <row r="74" spans="1:18" x14ac:dyDescent="0.2">
      <c r="A74" s="43">
        <v>44996</v>
      </c>
      <c r="B74" s="44" t="s">
        <v>126</v>
      </c>
      <c r="C74" s="44">
        <v>506592</v>
      </c>
      <c r="D74" s="9">
        <v>500</v>
      </c>
      <c r="E74" s="9"/>
      <c r="F74" s="9"/>
      <c r="G74" s="9"/>
      <c r="H74" s="9"/>
      <c r="I74" s="9"/>
      <c r="J74" s="9"/>
      <c r="K74" s="9"/>
      <c r="L74" s="9"/>
      <c r="M74" s="9"/>
      <c r="N74" s="9">
        <v>500</v>
      </c>
      <c r="O74" s="44"/>
      <c r="P74" s="44"/>
      <c r="Q74" s="44"/>
      <c r="R74" s="44"/>
    </row>
    <row r="75" spans="1:18" x14ac:dyDescent="0.2">
      <c r="A75" s="43">
        <v>44996</v>
      </c>
      <c r="B75" s="44" t="s">
        <v>200</v>
      </c>
      <c r="C75" s="44">
        <v>506593</v>
      </c>
      <c r="D75" s="9">
        <v>100</v>
      </c>
      <c r="E75" s="9"/>
      <c r="F75" s="9"/>
      <c r="G75" s="9"/>
      <c r="H75" s="9"/>
      <c r="I75" s="9"/>
      <c r="J75" s="9"/>
      <c r="K75" s="9"/>
      <c r="L75" s="9"/>
      <c r="M75" s="9"/>
      <c r="N75" s="9">
        <v>100</v>
      </c>
      <c r="O75" s="44"/>
      <c r="P75" s="44"/>
      <c r="Q75" s="44"/>
      <c r="R75" s="44"/>
    </row>
    <row r="76" spans="1:18" x14ac:dyDescent="0.2">
      <c r="A76" s="43">
        <v>44996</v>
      </c>
      <c r="B76" s="44" t="s">
        <v>61</v>
      </c>
      <c r="C76" s="44">
        <v>506594</v>
      </c>
      <c r="D76" s="9">
        <v>10000</v>
      </c>
      <c r="E76" s="9"/>
      <c r="F76" s="9"/>
      <c r="G76" s="9"/>
      <c r="H76" s="9">
        <v>10000</v>
      </c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44996</v>
      </c>
      <c r="B77" s="44" t="s">
        <v>71</v>
      </c>
      <c r="C77" s="44">
        <v>506595</v>
      </c>
      <c r="D77" s="9">
        <v>10000</v>
      </c>
      <c r="E77" s="9"/>
      <c r="F77" s="9"/>
      <c r="G77" s="9"/>
      <c r="H77" s="9">
        <v>10000</v>
      </c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44996</v>
      </c>
      <c r="B78" s="44" t="s">
        <v>201</v>
      </c>
      <c r="C78" s="44">
        <v>506596</v>
      </c>
      <c r="D78" s="9">
        <v>70000</v>
      </c>
      <c r="E78" s="9"/>
      <c r="F78" s="9"/>
      <c r="G78" s="9"/>
      <c r="H78" s="9">
        <v>70000</v>
      </c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44996</v>
      </c>
      <c r="B79" s="44" t="s">
        <v>181</v>
      </c>
      <c r="C79" s="44">
        <v>506597</v>
      </c>
      <c r="D79" s="9">
        <v>12000</v>
      </c>
      <c r="E79" s="9"/>
      <c r="F79" s="9"/>
      <c r="G79" s="9"/>
      <c r="H79" s="9">
        <v>12000</v>
      </c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44996</v>
      </c>
      <c r="B80" s="44" t="s">
        <v>113</v>
      </c>
      <c r="C80" s="44">
        <v>506598</v>
      </c>
      <c r="D80" s="9">
        <v>5000</v>
      </c>
      <c r="E80" s="9"/>
      <c r="F80" s="9"/>
      <c r="G80" s="9"/>
      <c r="H80" s="9"/>
      <c r="I80" s="9"/>
      <c r="J80" s="9"/>
      <c r="K80" s="9"/>
      <c r="L80" s="9"/>
      <c r="M80" s="9">
        <v>5000</v>
      </c>
      <c r="N80" s="9"/>
      <c r="O80" s="44"/>
      <c r="P80" s="44"/>
      <c r="Q80" s="44"/>
      <c r="R80" s="44"/>
    </row>
    <row r="81" spans="1:18" x14ac:dyDescent="0.2">
      <c r="A81" s="43">
        <v>44996</v>
      </c>
      <c r="B81" s="44" t="s">
        <v>202</v>
      </c>
      <c r="C81" s="44">
        <v>506599</v>
      </c>
      <c r="D81" s="9">
        <v>2000</v>
      </c>
      <c r="E81" s="9"/>
      <c r="F81" s="9"/>
      <c r="G81" s="9"/>
      <c r="H81" s="9"/>
      <c r="I81" s="9"/>
      <c r="J81" s="9"/>
      <c r="K81" s="9"/>
      <c r="L81" s="9"/>
      <c r="M81" s="9">
        <v>2000</v>
      </c>
      <c r="N81" s="9"/>
      <c r="O81" s="44"/>
      <c r="P81" s="44"/>
      <c r="Q81" s="44"/>
      <c r="R81" s="44"/>
    </row>
    <row r="82" spans="1:18" x14ac:dyDescent="0.2">
      <c r="A82" s="43">
        <v>44996</v>
      </c>
      <c r="B82" s="44" t="s">
        <v>117</v>
      </c>
      <c r="C82" s="44">
        <v>506600</v>
      </c>
      <c r="D82" s="9">
        <v>10000</v>
      </c>
      <c r="E82" s="9"/>
      <c r="F82" s="9"/>
      <c r="G82" s="9"/>
      <c r="H82" s="9">
        <v>10000</v>
      </c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8" x14ac:dyDescent="0.2">
      <c r="A83" s="43">
        <v>44996</v>
      </c>
      <c r="B83" s="44" t="s">
        <v>203</v>
      </c>
      <c r="C83" s="44">
        <v>528401</v>
      </c>
      <c r="D83" s="9">
        <v>2758</v>
      </c>
      <c r="E83" s="9">
        <v>2758</v>
      </c>
      <c r="F83" s="9"/>
      <c r="G83" s="9"/>
      <c r="H83" s="9"/>
      <c r="I83" s="9"/>
      <c r="J83" s="9"/>
      <c r="K83" s="9"/>
      <c r="L83" s="9"/>
      <c r="M83" s="9"/>
      <c r="N83" s="9"/>
      <c r="O83" s="44"/>
      <c r="P83" s="44"/>
      <c r="Q83" s="44"/>
      <c r="R83" s="44"/>
    </row>
    <row r="84" spans="1:18" x14ac:dyDescent="0.2">
      <c r="A84" s="43">
        <v>44996</v>
      </c>
      <c r="B84" s="44" t="s">
        <v>72</v>
      </c>
      <c r="C84" s="44">
        <v>528402</v>
      </c>
      <c r="D84" s="9">
        <v>360</v>
      </c>
      <c r="E84" s="9">
        <v>360</v>
      </c>
      <c r="F84" s="9"/>
      <c r="G84" s="9"/>
      <c r="H84" s="9"/>
      <c r="I84" s="9"/>
      <c r="J84" s="9"/>
      <c r="K84" s="9"/>
      <c r="L84" s="9"/>
      <c r="M84" s="9"/>
      <c r="N84" s="9"/>
      <c r="O84" s="44"/>
      <c r="P84" s="44"/>
      <c r="Q84" s="44"/>
      <c r="R84" s="44"/>
    </row>
    <row r="85" spans="1:18" x14ac:dyDescent="0.2">
      <c r="A85" s="43">
        <v>44996</v>
      </c>
      <c r="B85" s="44" t="s">
        <v>204</v>
      </c>
      <c r="C85" s="44">
        <v>528403</v>
      </c>
      <c r="D85" s="9">
        <v>20000</v>
      </c>
      <c r="E85" s="9"/>
      <c r="F85" s="9"/>
      <c r="G85" s="9"/>
      <c r="H85" s="9">
        <v>20000</v>
      </c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8" x14ac:dyDescent="0.2">
      <c r="A86" s="43">
        <v>44996</v>
      </c>
      <c r="B86" s="44" t="s">
        <v>205</v>
      </c>
      <c r="C86" s="44">
        <v>528404</v>
      </c>
      <c r="D86" s="9">
        <v>10000</v>
      </c>
      <c r="E86" s="9"/>
      <c r="F86" s="9"/>
      <c r="G86" s="9"/>
      <c r="H86" s="9">
        <v>10000</v>
      </c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8" x14ac:dyDescent="0.2">
      <c r="A87" s="43">
        <v>44996</v>
      </c>
      <c r="B87" s="44" t="s">
        <v>206</v>
      </c>
      <c r="C87" s="44">
        <v>528405</v>
      </c>
      <c r="D87" s="9">
        <v>30000</v>
      </c>
      <c r="E87" s="9"/>
      <c r="F87" s="9"/>
      <c r="G87" s="9"/>
      <c r="H87" s="9">
        <v>30000</v>
      </c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8" x14ac:dyDescent="0.2">
      <c r="A88" s="43">
        <v>44996</v>
      </c>
      <c r="B88" s="44" t="s">
        <v>177</v>
      </c>
      <c r="C88" s="44">
        <v>528406</v>
      </c>
      <c r="D88" s="9">
        <v>54000</v>
      </c>
      <c r="E88" s="9"/>
      <c r="F88" s="9"/>
      <c r="G88" s="9"/>
      <c r="H88" s="9">
        <v>54000</v>
      </c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8" x14ac:dyDescent="0.2">
      <c r="A89" s="43">
        <v>44996</v>
      </c>
      <c r="B89" s="44" t="s">
        <v>207</v>
      </c>
      <c r="C89" s="44">
        <v>528407</v>
      </c>
      <c r="D89" s="9">
        <v>225</v>
      </c>
      <c r="E89" s="9">
        <v>225</v>
      </c>
      <c r="F89" s="9"/>
      <c r="G89" s="9"/>
      <c r="H89" s="9"/>
      <c r="I89" s="9"/>
      <c r="J89" s="9"/>
      <c r="K89" s="9"/>
      <c r="L89" s="9"/>
      <c r="M89" s="9"/>
      <c r="N89" s="9"/>
      <c r="O89" s="44"/>
      <c r="P89" s="44"/>
      <c r="Q89" s="44"/>
      <c r="R89" s="44"/>
    </row>
    <row r="90" spans="1:18" x14ac:dyDescent="0.2">
      <c r="A90" s="43">
        <v>44996</v>
      </c>
      <c r="B90" s="44" t="s">
        <v>208</v>
      </c>
      <c r="C90" s="44">
        <v>528408</v>
      </c>
      <c r="D90" s="9">
        <v>300</v>
      </c>
      <c r="E90" s="9">
        <v>300</v>
      </c>
      <c r="F90" s="9"/>
      <c r="G90" s="9"/>
      <c r="H90" s="9"/>
      <c r="I90" s="9"/>
      <c r="J90" s="9"/>
      <c r="K90" s="9"/>
      <c r="L90" s="9"/>
      <c r="M90" s="9"/>
      <c r="N90" s="9"/>
      <c r="O90" s="44"/>
      <c r="P90" s="44"/>
      <c r="Q90" s="44"/>
      <c r="R90" s="44"/>
    </row>
    <row r="91" spans="1:18" x14ac:dyDescent="0.2">
      <c r="A91" s="43">
        <v>44996</v>
      </c>
      <c r="B91" s="44" t="s">
        <v>209</v>
      </c>
      <c r="C91" s="44">
        <v>528409</v>
      </c>
      <c r="D91" s="9">
        <v>1000</v>
      </c>
      <c r="E91" s="9"/>
      <c r="F91" s="9"/>
      <c r="G91" s="9"/>
      <c r="H91" s="9"/>
      <c r="I91" s="9"/>
      <c r="J91" s="9"/>
      <c r="K91" s="9"/>
      <c r="L91" s="9"/>
      <c r="M91" s="9"/>
      <c r="N91" s="9">
        <v>1000</v>
      </c>
      <c r="O91" s="44"/>
      <c r="P91" s="44"/>
      <c r="Q91" s="44"/>
      <c r="R91" s="44"/>
    </row>
    <row r="92" spans="1:18" x14ac:dyDescent="0.2">
      <c r="A92" s="43">
        <v>44996</v>
      </c>
      <c r="B92" s="44" t="s">
        <v>175</v>
      </c>
      <c r="C92" s="44">
        <v>528410</v>
      </c>
      <c r="D92" s="9">
        <v>200</v>
      </c>
      <c r="E92" s="9"/>
      <c r="F92" s="9"/>
      <c r="G92" s="9"/>
      <c r="H92" s="9"/>
      <c r="I92" s="9"/>
      <c r="J92" s="9"/>
      <c r="K92" s="9"/>
      <c r="L92" s="9"/>
      <c r="M92" s="9"/>
      <c r="N92" s="9">
        <v>200</v>
      </c>
      <c r="O92" s="44"/>
      <c r="P92" s="44"/>
      <c r="Q92" s="44"/>
      <c r="R92" s="44"/>
    </row>
    <row r="93" spans="1:18" x14ac:dyDescent="0.2">
      <c r="A93" s="43">
        <v>44996</v>
      </c>
      <c r="B93" s="44" t="s">
        <v>164</v>
      </c>
      <c r="C93" s="44">
        <v>528411</v>
      </c>
      <c r="D93" s="9">
        <v>1000</v>
      </c>
      <c r="E93" s="9"/>
      <c r="F93" s="9"/>
      <c r="G93" s="9"/>
      <c r="H93" s="9"/>
      <c r="I93" s="9"/>
      <c r="J93" s="9"/>
      <c r="K93" s="9"/>
      <c r="L93" s="9"/>
      <c r="M93" s="9"/>
      <c r="N93" s="9">
        <v>1000</v>
      </c>
      <c r="O93" s="44"/>
      <c r="P93" s="44"/>
      <c r="Q93" s="44"/>
      <c r="R93" s="44"/>
    </row>
    <row r="94" spans="1:18" x14ac:dyDescent="0.2">
      <c r="A94" s="43">
        <v>44996</v>
      </c>
      <c r="B94" s="44" t="s">
        <v>210</v>
      </c>
      <c r="C94" s="44">
        <v>528412</v>
      </c>
      <c r="D94" s="9">
        <v>1300</v>
      </c>
      <c r="E94" s="9">
        <v>1300</v>
      </c>
      <c r="F94" s="9"/>
      <c r="G94" s="9"/>
      <c r="H94" s="9"/>
      <c r="I94" s="9"/>
      <c r="J94" s="9"/>
      <c r="K94" s="9"/>
      <c r="L94" s="9"/>
      <c r="M94" s="9"/>
      <c r="N94" s="9"/>
      <c r="O94" s="44"/>
      <c r="P94" s="44"/>
      <c r="Q94" s="44"/>
      <c r="R94" s="44"/>
    </row>
    <row r="95" spans="1:18" x14ac:dyDescent="0.2">
      <c r="A95" s="43">
        <v>44996</v>
      </c>
      <c r="B95" s="44" t="s">
        <v>181</v>
      </c>
      <c r="C95" s="44">
        <v>528413</v>
      </c>
      <c r="D95" s="9">
        <v>5500</v>
      </c>
      <c r="E95" s="9"/>
      <c r="F95" s="9"/>
      <c r="G95" s="9"/>
      <c r="H95" s="9">
        <v>5500</v>
      </c>
      <c r="I95" s="9"/>
      <c r="J95" s="9"/>
      <c r="K95" s="9"/>
      <c r="L95" s="9"/>
      <c r="M95" s="9"/>
      <c r="N95" s="9"/>
      <c r="O95" s="44"/>
      <c r="P95" s="44"/>
      <c r="Q95" s="44"/>
      <c r="R95" s="44"/>
    </row>
    <row r="96" spans="1:18" x14ac:dyDescent="0.2">
      <c r="A96" s="43">
        <v>44996</v>
      </c>
      <c r="B96" s="44" t="s">
        <v>211</v>
      </c>
      <c r="C96" s="44">
        <v>528414</v>
      </c>
      <c r="D96" s="9">
        <v>1000</v>
      </c>
      <c r="E96" s="9"/>
      <c r="F96" s="9"/>
      <c r="G96" s="9"/>
      <c r="H96" s="9"/>
      <c r="I96" s="9"/>
      <c r="J96" s="9"/>
      <c r="K96" s="9"/>
      <c r="L96" s="9"/>
      <c r="M96" s="9"/>
      <c r="N96" s="9">
        <v>1000</v>
      </c>
      <c r="O96" s="44"/>
      <c r="P96" s="44"/>
      <c r="Q96" s="44"/>
      <c r="R96" s="44"/>
    </row>
    <row r="97" spans="1:18" x14ac:dyDescent="0.2">
      <c r="A97" s="43">
        <v>44996</v>
      </c>
      <c r="B97" s="44" t="s">
        <v>205</v>
      </c>
      <c r="C97" s="44">
        <v>528415</v>
      </c>
      <c r="D97" s="9">
        <v>10000</v>
      </c>
      <c r="E97" s="9"/>
      <c r="F97" s="9"/>
      <c r="G97" s="9"/>
      <c r="H97" s="9">
        <v>10000</v>
      </c>
      <c r="I97" s="9"/>
      <c r="J97" s="9"/>
      <c r="K97" s="9"/>
      <c r="L97" s="9"/>
      <c r="M97" s="9"/>
      <c r="N97" s="9"/>
      <c r="O97" s="44"/>
      <c r="P97" s="44"/>
      <c r="Q97" s="44"/>
      <c r="R97" s="44"/>
    </row>
    <row r="98" spans="1:18" x14ac:dyDescent="0.2">
      <c r="A98" s="43">
        <v>44996</v>
      </c>
      <c r="B98" s="44" t="s">
        <v>68</v>
      </c>
      <c r="C98" s="44">
        <v>528416</v>
      </c>
      <c r="D98" s="9">
        <v>10000</v>
      </c>
      <c r="E98" s="9"/>
      <c r="F98" s="9"/>
      <c r="G98" s="9"/>
      <c r="H98" s="9">
        <v>10000</v>
      </c>
      <c r="I98" s="9"/>
      <c r="J98" s="9"/>
      <c r="K98" s="9"/>
      <c r="L98" s="9"/>
      <c r="M98" s="9"/>
      <c r="N98" s="9"/>
      <c r="O98" s="44"/>
      <c r="P98" s="44"/>
      <c r="Q98" s="44"/>
      <c r="R98" s="44"/>
    </row>
    <row r="99" spans="1:18" x14ac:dyDescent="0.2">
      <c r="A99" s="43">
        <v>44996</v>
      </c>
      <c r="B99" s="44" t="s">
        <v>202</v>
      </c>
      <c r="C99" s="44">
        <v>528417</v>
      </c>
      <c r="D99" s="9">
        <v>20000</v>
      </c>
      <c r="E99" s="9"/>
      <c r="F99" s="9"/>
      <c r="G99" s="9"/>
      <c r="H99" s="9">
        <v>20000</v>
      </c>
      <c r="I99" s="9"/>
      <c r="J99" s="9"/>
      <c r="K99" s="9"/>
      <c r="L99" s="9"/>
      <c r="M99" s="9"/>
      <c r="N99" s="9"/>
      <c r="O99" s="44"/>
      <c r="P99" s="44"/>
      <c r="Q99" s="44"/>
      <c r="R99" s="44"/>
    </row>
    <row r="100" spans="1:18" x14ac:dyDescent="0.2">
      <c r="A100" s="43">
        <v>44996</v>
      </c>
      <c r="B100" s="44" t="s">
        <v>183</v>
      </c>
      <c r="C100" s="44">
        <v>528418</v>
      </c>
      <c r="D100" s="9">
        <v>3100</v>
      </c>
      <c r="E100" s="9"/>
      <c r="F100" s="9"/>
      <c r="G100" s="9"/>
      <c r="H100" s="9">
        <v>3100</v>
      </c>
      <c r="I100" s="9"/>
      <c r="J100" s="9"/>
      <c r="K100" s="9"/>
      <c r="L100" s="9"/>
      <c r="M100" s="9"/>
      <c r="N100" s="9"/>
      <c r="O100" s="44"/>
      <c r="P100" s="44"/>
      <c r="Q100" s="44"/>
      <c r="R100" s="44"/>
    </row>
    <row r="101" spans="1:18" x14ac:dyDescent="0.2">
      <c r="A101" s="43">
        <v>44996</v>
      </c>
      <c r="B101" s="44" t="s">
        <v>92</v>
      </c>
      <c r="C101" s="44">
        <v>528419</v>
      </c>
      <c r="D101" s="9">
        <v>1600</v>
      </c>
      <c r="E101" s="9">
        <v>1600</v>
      </c>
      <c r="F101" s="9"/>
      <c r="G101" s="9"/>
      <c r="H101" s="9"/>
      <c r="I101" s="9"/>
      <c r="J101" s="9"/>
      <c r="K101" s="9"/>
      <c r="L101" s="9"/>
      <c r="M101" s="9"/>
      <c r="N101" s="9"/>
      <c r="O101" s="44"/>
      <c r="P101" s="44"/>
      <c r="Q101" s="44"/>
      <c r="R101" s="44"/>
    </row>
    <row r="102" spans="1:18" x14ac:dyDescent="0.2">
      <c r="A102" s="43">
        <v>44996</v>
      </c>
      <c r="B102" s="44" t="s">
        <v>100</v>
      </c>
      <c r="C102" s="44">
        <v>528420</v>
      </c>
      <c r="D102" s="9">
        <v>1000</v>
      </c>
      <c r="E102" s="9"/>
      <c r="F102" s="9"/>
      <c r="G102" s="9"/>
      <c r="H102" s="9">
        <v>1000</v>
      </c>
      <c r="I102" s="9"/>
      <c r="J102" s="9"/>
      <c r="K102" s="9"/>
      <c r="L102" s="9"/>
      <c r="M102" s="9"/>
      <c r="N102" s="9"/>
      <c r="O102" s="44"/>
      <c r="P102" s="44"/>
      <c r="Q102" s="44"/>
      <c r="R102" s="44"/>
    </row>
    <row r="103" spans="1:18" x14ac:dyDescent="0.2">
      <c r="A103" s="43">
        <v>44996</v>
      </c>
      <c r="B103" s="44" t="s">
        <v>212</v>
      </c>
      <c r="C103" s="44">
        <v>528421</v>
      </c>
      <c r="D103" s="9">
        <v>30000</v>
      </c>
      <c r="E103" s="9"/>
      <c r="F103" s="9"/>
      <c r="G103" s="9"/>
      <c r="H103" s="9">
        <v>30000</v>
      </c>
      <c r="I103" s="9"/>
      <c r="J103" s="9"/>
      <c r="K103" s="9"/>
      <c r="L103" s="9"/>
      <c r="M103" s="9"/>
      <c r="N103" s="9"/>
      <c r="O103" s="44"/>
      <c r="P103" s="44"/>
      <c r="Q103" s="44"/>
      <c r="R103" s="44"/>
    </row>
    <row r="104" spans="1:18" x14ac:dyDescent="0.2">
      <c r="A104" s="43">
        <v>44996</v>
      </c>
      <c r="B104" s="46" t="s">
        <v>112</v>
      </c>
      <c r="C104" s="46">
        <v>528422</v>
      </c>
      <c r="D104" s="11">
        <v>4000</v>
      </c>
      <c r="E104" s="11">
        <v>3000</v>
      </c>
      <c r="F104" s="11">
        <v>250</v>
      </c>
      <c r="G104" s="11">
        <v>250</v>
      </c>
      <c r="H104" s="11"/>
      <c r="I104" s="11">
        <v>500</v>
      </c>
      <c r="J104" s="11"/>
      <c r="K104" s="9"/>
      <c r="L104" s="9"/>
      <c r="M104" s="9"/>
      <c r="N104" s="9"/>
      <c r="O104" s="44"/>
      <c r="P104" s="44"/>
      <c r="Q104" s="44"/>
      <c r="R104" s="44"/>
    </row>
    <row r="105" spans="1:18" x14ac:dyDescent="0.2">
      <c r="A105" s="43">
        <v>44996</v>
      </c>
      <c r="B105" s="44" t="s">
        <v>61</v>
      </c>
      <c r="C105" s="44">
        <v>528423</v>
      </c>
      <c r="D105" s="9">
        <v>17000</v>
      </c>
      <c r="E105" s="9"/>
      <c r="F105" s="9"/>
      <c r="G105" s="9"/>
      <c r="H105" s="9">
        <v>17000</v>
      </c>
      <c r="I105" s="9"/>
      <c r="J105" s="9"/>
      <c r="K105" s="9"/>
      <c r="L105" s="9"/>
      <c r="M105" s="9"/>
      <c r="N105" s="9"/>
      <c r="O105" s="44"/>
      <c r="P105" s="44"/>
      <c r="Q105" s="44"/>
      <c r="R105" s="44"/>
    </row>
    <row r="106" spans="1:18" x14ac:dyDescent="0.2">
      <c r="A106" s="43">
        <v>44996</v>
      </c>
      <c r="B106" s="44" t="s">
        <v>52</v>
      </c>
      <c r="C106" s="44">
        <v>528424</v>
      </c>
      <c r="D106" s="9">
        <v>2000</v>
      </c>
      <c r="E106" s="9"/>
      <c r="F106" s="9">
        <v>2000</v>
      </c>
      <c r="G106" s="9"/>
      <c r="H106" s="9"/>
      <c r="I106" s="9"/>
      <c r="J106" s="9"/>
      <c r="K106" s="9"/>
      <c r="L106" s="9"/>
      <c r="M106" s="9"/>
      <c r="N106" s="9"/>
      <c r="O106" s="44"/>
      <c r="P106" s="44"/>
      <c r="Q106" s="44"/>
      <c r="R106" s="44"/>
    </row>
    <row r="107" spans="1:18" x14ac:dyDescent="0.2">
      <c r="A107" s="43">
        <v>44996</v>
      </c>
      <c r="B107" s="44" t="s">
        <v>69</v>
      </c>
      <c r="C107" s="44">
        <v>528425</v>
      </c>
      <c r="D107" s="9">
        <v>15000</v>
      </c>
      <c r="E107" s="9"/>
      <c r="F107" s="9"/>
      <c r="G107" s="9"/>
      <c r="H107" s="9">
        <v>15000</v>
      </c>
      <c r="I107" s="9"/>
      <c r="J107" s="9"/>
      <c r="K107" s="9"/>
      <c r="L107" s="9"/>
      <c r="M107" s="9"/>
      <c r="N107" s="9"/>
      <c r="O107" s="44"/>
      <c r="P107" s="44"/>
      <c r="Q107" s="44"/>
      <c r="R107" s="44"/>
    </row>
    <row r="108" spans="1:18" x14ac:dyDescent="0.2">
      <c r="A108" s="43">
        <v>44996</v>
      </c>
      <c r="B108" s="44" t="s">
        <v>113</v>
      </c>
      <c r="C108" s="44">
        <v>528426</v>
      </c>
      <c r="D108" s="9">
        <v>40000</v>
      </c>
      <c r="E108" s="9"/>
      <c r="F108" s="9"/>
      <c r="G108" s="9"/>
      <c r="H108" s="9">
        <v>40000</v>
      </c>
      <c r="I108" s="9"/>
      <c r="J108" s="9"/>
      <c r="K108" s="9"/>
      <c r="L108" s="9"/>
      <c r="M108" s="9"/>
      <c r="N108" s="9"/>
      <c r="O108" s="44"/>
      <c r="P108" s="44"/>
      <c r="Q108" s="44"/>
      <c r="R108" s="44"/>
    </row>
    <row r="109" spans="1:18" x14ac:dyDescent="0.2">
      <c r="A109" s="43">
        <v>44996</v>
      </c>
      <c r="B109" s="44" t="s">
        <v>181</v>
      </c>
      <c r="C109" s="44">
        <v>528427</v>
      </c>
      <c r="D109" s="9">
        <v>4000</v>
      </c>
      <c r="E109" s="9"/>
      <c r="F109" s="9"/>
      <c r="G109" s="9"/>
      <c r="H109" s="9">
        <v>4000</v>
      </c>
      <c r="I109" s="9"/>
      <c r="J109" s="9"/>
      <c r="K109" s="9"/>
      <c r="L109" s="9"/>
      <c r="M109" s="9"/>
      <c r="N109" s="9"/>
      <c r="O109" s="44"/>
      <c r="P109" s="44"/>
      <c r="Q109" s="44"/>
      <c r="R109" s="44"/>
    </row>
    <row r="110" spans="1:18" x14ac:dyDescent="0.2">
      <c r="A110" s="43">
        <v>44996</v>
      </c>
      <c r="B110" s="44" t="s">
        <v>213</v>
      </c>
      <c r="C110" s="44">
        <v>528428</v>
      </c>
      <c r="D110" s="9">
        <v>100</v>
      </c>
      <c r="E110" s="9"/>
      <c r="F110" s="9">
        <v>100</v>
      </c>
      <c r="G110" s="9"/>
      <c r="H110" s="9"/>
      <c r="I110" s="9"/>
      <c r="J110" s="9"/>
      <c r="K110" s="9"/>
      <c r="L110" s="9"/>
      <c r="M110" s="9"/>
      <c r="N110" s="9"/>
      <c r="O110" s="44"/>
      <c r="P110" s="44"/>
      <c r="Q110" s="44"/>
      <c r="R110" s="44"/>
    </row>
    <row r="111" spans="1:18" x14ac:dyDescent="0.2">
      <c r="A111" s="43">
        <v>44996</v>
      </c>
      <c r="B111" s="44" t="s">
        <v>214</v>
      </c>
      <c r="C111" s="44">
        <v>528429</v>
      </c>
      <c r="D111" s="9">
        <v>5100</v>
      </c>
      <c r="E111" s="9">
        <v>5100</v>
      </c>
      <c r="F111" s="9"/>
      <c r="G111" s="9"/>
      <c r="H111" s="9"/>
      <c r="I111" s="9"/>
      <c r="J111" s="9"/>
      <c r="K111" s="9"/>
      <c r="L111" s="9"/>
      <c r="M111" s="9"/>
      <c r="N111" s="9"/>
      <c r="O111" s="44"/>
      <c r="P111" s="44"/>
      <c r="Q111" s="44"/>
      <c r="R111" s="44"/>
    </row>
    <row r="112" spans="1:18" x14ac:dyDescent="0.2">
      <c r="A112" s="43">
        <v>44996</v>
      </c>
      <c r="B112" s="44" t="s">
        <v>117</v>
      </c>
      <c r="C112" s="44">
        <v>528430</v>
      </c>
      <c r="D112" s="9">
        <v>20000</v>
      </c>
      <c r="E112" s="9"/>
      <c r="F112" s="9"/>
      <c r="G112" s="9"/>
      <c r="H112" s="9">
        <v>20000</v>
      </c>
      <c r="I112" s="9"/>
      <c r="J112" s="9"/>
      <c r="K112" s="9"/>
      <c r="L112" s="9"/>
      <c r="M112" s="9"/>
      <c r="N112" s="9"/>
      <c r="O112" s="44"/>
      <c r="P112" s="44"/>
      <c r="Q112" s="44"/>
      <c r="R112" s="44"/>
    </row>
    <row r="113" spans="1:18" x14ac:dyDescent="0.2">
      <c r="A113" s="43">
        <v>44996</v>
      </c>
      <c r="B113" s="44" t="s">
        <v>215</v>
      </c>
      <c r="C113" s="44">
        <v>528431</v>
      </c>
      <c r="D113" s="9">
        <v>5000</v>
      </c>
      <c r="E113" s="9"/>
      <c r="F113" s="9"/>
      <c r="G113" s="9"/>
      <c r="H113" s="9">
        <v>5000</v>
      </c>
      <c r="I113" s="9"/>
      <c r="J113" s="9"/>
      <c r="K113" s="9"/>
      <c r="L113" s="9"/>
      <c r="M113" s="9"/>
      <c r="N113" s="9"/>
      <c r="O113" s="44"/>
      <c r="P113" s="44"/>
      <c r="Q113" s="44"/>
      <c r="R113" s="44"/>
    </row>
    <row r="114" spans="1:18" x14ac:dyDescent="0.2">
      <c r="A114" s="43">
        <v>44996</v>
      </c>
      <c r="B114" s="44" t="s">
        <v>216</v>
      </c>
      <c r="C114" s="44">
        <v>528432</v>
      </c>
      <c r="D114" s="9">
        <v>10000</v>
      </c>
      <c r="E114" s="9"/>
      <c r="F114" s="9"/>
      <c r="G114" s="9"/>
      <c r="H114" s="9">
        <v>10000</v>
      </c>
      <c r="I114" s="9"/>
      <c r="J114" s="9"/>
      <c r="K114" s="9"/>
      <c r="L114" s="9"/>
      <c r="M114" s="9"/>
      <c r="N114" s="9"/>
      <c r="O114" s="44"/>
      <c r="P114" s="44"/>
      <c r="Q114" s="44"/>
      <c r="R114" s="44"/>
    </row>
    <row r="115" spans="1:18" x14ac:dyDescent="0.2">
      <c r="A115" s="43">
        <v>44996</v>
      </c>
      <c r="B115" s="44" t="s">
        <v>117</v>
      </c>
      <c r="C115" s="44">
        <v>528433</v>
      </c>
      <c r="D115" s="9">
        <v>10000</v>
      </c>
      <c r="E115" s="9"/>
      <c r="F115" s="9"/>
      <c r="G115" s="9"/>
      <c r="H115" s="9">
        <v>10000</v>
      </c>
      <c r="I115" s="9"/>
      <c r="J115" s="9"/>
      <c r="K115" s="9"/>
      <c r="L115" s="9"/>
      <c r="M115" s="9"/>
      <c r="N115" s="9"/>
      <c r="O115" s="44"/>
      <c r="P115" s="44"/>
      <c r="Q115" s="44"/>
      <c r="R115" s="44"/>
    </row>
    <row r="116" spans="1:18" x14ac:dyDescent="0.2">
      <c r="A116" s="43">
        <v>44996</v>
      </c>
      <c r="B116" s="44" t="s">
        <v>217</v>
      </c>
      <c r="C116" s="44">
        <v>528434</v>
      </c>
      <c r="D116" s="9">
        <v>200</v>
      </c>
      <c r="E116" s="9"/>
      <c r="F116" s="9"/>
      <c r="G116" s="9"/>
      <c r="H116" s="9">
        <v>200</v>
      </c>
      <c r="I116" s="9"/>
      <c r="J116" s="9"/>
      <c r="K116" s="9"/>
      <c r="L116" s="9"/>
      <c r="M116" s="9"/>
      <c r="N116" s="9"/>
      <c r="O116" s="44"/>
      <c r="P116" s="44"/>
      <c r="Q116" s="44"/>
      <c r="R116" s="44"/>
    </row>
    <row r="117" spans="1:18" x14ac:dyDescent="0.2">
      <c r="A117" s="43">
        <v>44996</v>
      </c>
      <c r="B117" s="44" t="s">
        <v>218</v>
      </c>
      <c r="C117" s="44">
        <v>528435</v>
      </c>
      <c r="D117" s="9">
        <v>1000</v>
      </c>
      <c r="E117" s="9"/>
      <c r="F117" s="9"/>
      <c r="G117" s="9"/>
      <c r="H117" s="9">
        <v>1000</v>
      </c>
      <c r="I117" s="9"/>
      <c r="J117" s="9"/>
      <c r="K117" s="9"/>
      <c r="L117" s="9"/>
      <c r="M117" s="9"/>
      <c r="N117" s="9"/>
      <c r="O117" s="44"/>
      <c r="P117" s="44"/>
      <c r="Q117" s="44"/>
      <c r="R117" s="44"/>
    </row>
    <row r="118" spans="1:18" x14ac:dyDescent="0.2">
      <c r="A118" s="43">
        <v>44996</v>
      </c>
      <c r="B118" s="44" t="s">
        <v>219</v>
      </c>
      <c r="C118" s="44">
        <v>528436</v>
      </c>
      <c r="D118" s="9">
        <v>50</v>
      </c>
      <c r="E118" s="9"/>
      <c r="F118" s="9"/>
      <c r="G118" s="9"/>
      <c r="H118" s="9">
        <v>50</v>
      </c>
      <c r="I118" s="9"/>
      <c r="J118" s="9"/>
      <c r="K118" s="9"/>
      <c r="L118" s="9"/>
      <c r="M118" s="9"/>
      <c r="N118" s="9"/>
      <c r="O118" s="44"/>
      <c r="P118" s="44"/>
      <c r="Q118" s="44"/>
      <c r="R118" s="44"/>
    </row>
    <row r="119" spans="1:18" x14ac:dyDescent="0.2">
      <c r="A119" s="43">
        <v>44996</v>
      </c>
      <c r="B119" s="44" t="s">
        <v>220</v>
      </c>
      <c r="C119" s="44">
        <v>528437</v>
      </c>
      <c r="D119" s="9">
        <v>500</v>
      </c>
      <c r="E119" s="9"/>
      <c r="F119" s="9"/>
      <c r="G119" s="9"/>
      <c r="H119" s="9">
        <v>500</v>
      </c>
      <c r="I119" s="9"/>
      <c r="J119" s="9"/>
      <c r="K119" s="9"/>
      <c r="L119" s="9"/>
      <c r="M119" s="9"/>
      <c r="N119" s="9"/>
      <c r="O119" s="44"/>
      <c r="P119" s="44"/>
      <c r="Q119" s="44"/>
      <c r="R119" s="44"/>
    </row>
    <row r="120" spans="1:18" x14ac:dyDescent="0.2">
      <c r="A120" s="43">
        <v>44996</v>
      </c>
      <c r="B120" s="44" t="s">
        <v>117</v>
      </c>
      <c r="C120" s="44">
        <v>528438</v>
      </c>
      <c r="D120" s="9">
        <v>30000</v>
      </c>
      <c r="E120" s="9"/>
      <c r="F120" s="9"/>
      <c r="G120" s="9"/>
      <c r="H120" s="9">
        <v>30000</v>
      </c>
      <c r="I120" s="9"/>
      <c r="J120" s="9"/>
      <c r="K120" s="9"/>
      <c r="L120" s="9"/>
      <c r="M120" s="9"/>
      <c r="N120" s="9"/>
      <c r="O120" s="44"/>
      <c r="P120" s="44"/>
      <c r="Q120" s="44"/>
      <c r="R120" s="44"/>
    </row>
    <row r="121" spans="1:18" x14ac:dyDescent="0.2">
      <c r="A121" s="43">
        <v>44996</v>
      </c>
      <c r="B121" s="44" t="s">
        <v>164</v>
      </c>
      <c r="C121" s="44">
        <v>528439</v>
      </c>
      <c r="D121" s="9">
        <v>500</v>
      </c>
      <c r="E121" s="9"/>
      <c r="F121" s="9"/>
      <c r="G121" s="9"/>
      <c r="H121" s="9">
        <v>500</v>
      </c>
      <c r="I121" s="9"/>
      <c r="J121" s="9"/>
      <c r="K121" s="9"/>
      <c r="L121" s="9"/>
      <c r="M121" s="9"/>
      <c r="N121" s="9"/>
      <c r="O121" s="44"/>
      <c r="P121" s="44"/>
      <c r="Q121" s="44"/>
      <c r="R121" s="44"/>
    </row>
    <row r="122" spans="1:18" x14ac:dyDescent="0.2">
      <c r="A122" s="43">
        <v>44996</v>
      </c>
      <c r="B122" s="44" t="s">
        <v>221</v>
      </c>
      <c r="C122" s="44">
        <v>528440</v>
      </c>
      <c r="D122" s="9">
        <v>50</v>
      </c>
      <c r="E122" s="9"/>
      <c r="F122" s="9"/>
      <c r="G122" s="9"/>
      <c r="H122" s="9">
        <v>50</v>
      </c>
      <c r="I122" s="9"/>
      <c r="J122" s="9"/>
      <c r="K122" s="9"/>
      <c r="L122" s="9"/>
      <c r="M122" s="9"/>
      <c r="N122" s="9"/>
      <c r="O122" s="44"/>
      <c r="P122" s="44"/>
      <c r="Q122" s="44"/>
      <c r="R122" s="44"/>
    </row>
    <row r="123" spans="1:18" x14ac:dyDescent="0.2">
      <c r="A123" s="43">
        <v>44996</v>
      </c>
      <c r="B123" s="44" t="s">
        <v>222</v>
      </c>
      <c r="C123" s="44">
        <v>528441</v>
      </c>
      <c r="D123" s="9">
        <v>2000</v>
      </c>
      <c r="E123" s="9"/>
      <c r="F123" s="9"/>
      <c r="G123" s="9"/>
      <c r="H123" s="9">
        <v>2000</v>
      </c>
      <c r="I123" s="9"/>
      <c r="J123" s="9"/>
      <c r="K123" s="9"/>
      <c r="L123" s="9"/>
      <c r="M123" s="9"/>
      <c r="N123" s="9"/>
      <c r="O123" s="44"/>
      <c r="P123" s="44"/>
      <c r="Q123" s="44"/>
      <c r="R123" s="44"/>
    </row>
    <row r="124" spans="1:18" x14ac:dyDescent="0.2">
      <c r="A124" s="43">
        <v>44996</v>
      </c>
      <c r="B124" s="44" t="s">
        <v>112</v>
      </c>
      <c r="C124" s="44">
        <v>528442</v>
      </c>
      <c r="D124" s="9">
        <v>1000</v>
      </c>
      <c r="E124" s="9"/>
      <c r="F124" s="9"/>
      <c r="G124" s="9"/>
      <c r="H124" s="9">
        <v>1000</v>
      </c>
      <c r="I124" s="9"/>
      <c r="J124" s="9"/>
      <c r="K124" s="9"/>
      <c r="L124" s="9"/>
      <c r="M124" s="9"/>
      <c r="N124" s="9"/>
      <c r="O124" s="44"/>
      <c r="P124" s="44"/>
      <c r="Q124" s="44"/>
      <c r="R124" s="44"/>
    </row>
    <row r="125" spans="1:18" x14ac:dyDescent="0.2">
      <c r="A125" s="43">
        <v>44996</v>
      </c>
      <c r="B125" s="44" t="s">
        <v>223</v>
      </c>
      <c r="C125" s="44">
        <v>528443</v>
      </c>
      <c r="D125" s="9">
        <v>100</v>
      </c>
      <c r="E125" s="9"/>
      <c r="F125" s="9"/>
      <c r="G125" s="9"/>
      <c r="H125" s="9">
        <v>100</v>
      </c>
      <c r="I125" s="9"/>
      <c r="J125" s="9"/>
      <c r="K125" s="9"/>
      <c r="L125" s="9"/>
      <c r="M125" s="9"/>
      <c r="N125" s="9"/>
      <c r="O125" s="44"/>
      <c r="P125" s="44"/>
      <c r="Q125" s="44"/>
      <c r="R125" s="44"/>
    </row>
    <row r="126" spans="1:18" x14ac:dyDescent="0.2">
      <c r="A126" s="43">
        <v>44996</v>
      </c>
      <c r="B126" s="44" t="s">
        <v>224</v>
      </c>
      <c r="C126" s="44">
        <v>528444</v>
      </c>
      <c r="D126" s="9">
        <v>500</v>
      </c>
      <c r="E126" s="9"/>
      <c r="F126" s="9"/>
      <c r="G126" s="9"/>
      <c r="H126" s="9">
        <v>500</v>
      </c>
      <c r="I126" s="9"/>
      <c r="J126" s="9"/>
      <c r="K126" s="9"/>
      <c r="L126" s="9"/>
      <c r="M126" s="9"/>
      <c r="N126" s="9"/>
      <c r="O126" s="44"/>
      <c r="P126" s="44"/>
      <c r="Q126" s="44"/>
      <c r="R126" s="44"/>
    </row>
    <row r="127" spans="1:18" x14ac:dyDescent="0.2">
      <c r="A127" s="43">
        <v>44996</v>
      </c>
      <c r="B127" s="44" t="s">
        <v>225</v>
      </c>
      <c r="C127" s="44">
        <v>528445</v>
      </c>
      <c r="D127" s="9">
        <v>5000</v>
      </c>
      <c r="E127" s="9"/>
      <c r="F127" s="9"/>
      <c r="G127" s="9"/>
      <c r="H127" s="9">
        <v>5000</v>
      </c>
      <c r="I127" s="9"/>
      <c r="J127" s="9"/>
      <c r="K127" s="9"/>
      <c r="L127" s="9"/>
      <c r="M127" s="9"/>
      <c r="N127" s="9"/>
      <c r="O127" s="44"/>
      <c r="P127" s="44"/>
      <c r="Q127" s="44"/>
      <c r="R127" s="44"/>
    </row>
    <row r="128" spans="1:18" x14ac:dyDescent="0.2">
      <c r="A128" s="43">
        <v>44996</v>
      </c>
      <c r="B128" s="46" t="s">
        <v>226</v>
      </c>
      <c r="C128" s="46">
        <v>528446</v>
      </c>
      <c r="D128" s="11">
        <v>100</v>
      </c>
      <c r="E128" s="11"/>
      <c r="F128" s="11"/>
      <c r="G128" s="11"/>
      <c r="H128" s="11">
        <v>100</v>
      </c>
      <c r="I128" s="9"/>
      <c r="J128" s="9"/>
      <c r="K128" s="9"/>
      <c r="L128" s="9"/>
      <c r="M128" s="9"/>
      <c r="N128" s="9"/>
      <c r="O128" s="44"/>
      <c r="P128" s="44"/>
      <c r="Q128" s="44"/>
      <c r="R128" s="44"/>
    </row>
    <row r="129" spans="1:18" x14ac:dyDescent="0.2">
      <c r="A129" s="43">
        <v>44996</v>
      </c>
      <c r="B129" s="44" t="s">
        <v>170</v>
      </c>
      <c r="C129" s="44">
        <v>528447</v>
      </c>
      <c r="D129" s="9">
        <v>500</v>
      </c>
      <c r="E129" s="9"/>
      <c r="F129" s="9"/>
      <c r="G129" s="9"/>
      <c r="H129" s="9">
        <v>500</v>
      </c>
      <c r="I129" s="9"/>
      <c r="J129" s="9"/>
      <c r="K129" s="9"/>
      <c r="L129" s="9"/>
      <c r="M129" s="9"/>
      <c r="N129" s="9"/>
      <c r="O129" s="44"/>
      <c r="P129" s="44"/>
      <c r="Q129" s="44"/>
      <c r="R129" s="44"/>
    </row>
    <row r="130" spans="1:18" x14ac:dyDescent="0.2">
      <c r="A130" s="43">
        <v>44996</v>
      </c>
      <c r="B130" s="44" t="s">
        <v>227</v>
      </c>
      <c r="C130" s="44">
        <v>528448</v>
      </c>
      <c r="D130" s="9">
        <v>100</v>
      </c>
      <c r="E130" s="9"/>
      <c r="F130" s="9"/>
      <c r="G130" s="9"/>
      <c r="H130" s="9">
        <v>100</v>
      </c>
      <c r="I130" s="9"/>
      <c r="J130" s="9"/>
      <c r="K130" s="9"/>
      <c r="L130" s="9"/>
      <c r="M130" s="9"/>
      <c r="N130" s="9"/>
      <c r="O130" s="44"/>
      <c r="P130" s="44"/>
      <c r="Q130" s="44"/>
      <c r="R130" s="44"/>
    </row>
    <row r="131" spans="1:18" x14ac:dyDescent="0.2">
      <c r="A131" s="43">
        <v>44996</v>
      </c>
      <c r="B131" s="44" t="s">
        <v>83</v>
      </c>
      <c r="C131" s="44">
        <v>528449</v>
      </c>
      <c r="D131" s="9">
        <v>1000</v>
      </c>
      <c r="E131" s="9"/>
      <c r="F131" s="9"/>
      <c r="G131" s="9"/>
      <c r="H131" s="9">
        <v>1000</v>
      </c>
      <c r="I131" s="9"/>
      <c r="J131" s="9"/>
      <c r="K131" s="9"/>
      <c r="L131" s="9"/>
      <c r="M131" s="9"/>
      <c r="N131" s="9"/>
      <c r="O131" s="44"/>
      <c r="P131" s="44"/>
      <c r="Q131" s="44"/>
      <c r="R131" s="44"/>
    </row>
    <row r="132" spans="1:18" x14ac:dyDescent="0.2">
      <c r="A132" s="43">
        <v>44996</v>
      </c>
      <c r="B132" s="44" t="s">
        <v>228</v>
      </c>
      <c r="C132" s="44">
        <v>528450</v>
      </c>
      <c r="D132" s="9">
        <v>100</v>
      </c>
      <c r="E132" s="9"/>
      <c r="F132" s="9"/>
      <c r="G132" s="9"/>
      <c r="H132" s="9">
        <v>100</v>
      </c>
      <c r="I132" s="9"/>
      <c r="J132" s="9"/>
      <c r="K132" s="9"/>
      <c r="L132" s="9"/>
      <c r="M132" s="9"/>
      <c r="N132" s="9"/>
      <c r="O132" s="44"/>
      <c r="P132" s="44"/>
      <c r="Q132" s="44"/>
      <c r="R132" s="44"/>
    </row>
    <row r="133" spans="1:18" x14ac:dyDescent="0.2">
      <c r="A133" s="43">
        <v>44996</v>
      </c>
      <c r="B133" s="44" t="s">
        <v>66</v>
      </c>
      <c r="C133" s="44">
        <v>528451</v>
      </c>
      <c r="D133" s="9">
        <v>300</v>
      </c>
      <c r="E133" s="9"/>
      <c r="F133" s="9"/>
      <c r="G133" s="9"/>
      <c r="H133" s="9">
        <v>300</v>
      </c>
      <c r="I133" s="9"/>
      <c r="J133" s="9"/>
      <c r="K133" s="9"/>
      <c r="L133" s="9"/>
      <c r="M133" s="9"/>
      <c r="N133" s="9"/>
      <c r="O133" s="44"/>
      <c r="P133" s="44"/>
      <c r="Q133" s="44"/>
      <c r="R133" s="44"/>
    </row>
    <row r="134" spans="1:18" x14ac:dyDescent="0.2">
      <c r="A134" s="43">
        <v>44996</v>
      </c>
      <c r="B134" s="44" t="s">
        <v>229</v>
      </c>
      <c r="C134" s="44">
        <v>528452</v>
      </c>
      <c r="D134" s="9">
        <v>500</v>
      </c>
      <c r="E134" s="9"/>
      <c r="F134" s="9"/>
      <c r="G134" s="9"/>
      <c r="H134" s="9">
        <v>500</v>
      </c>
      <c r="I134" s="9"/>
      <c r="J134" s="9"/>
      <c r="K134" s="9"/>
      <c r="L134" s="9"/>
      <c r="M134" s="9"/>
      <c r="N134" s="9"/>
      <c r="O134" s="44"/>
      <c r="P134" s="44"/>
      <c r="Q134" s="44"/>
      <c r="R134" s="44"/>
    </row>
    <row r="135" spans="1:18" x14ac:dyDescent="0.2">
      <c r="A135" s="43">
        <v>44996</v>
      </c>
      <c r="B135" s="44" t="s">
        <v>230</v>
      </c>
      <c r="C135" s="44">
        <v>528453</v>
      </c>
      <c r="D135" s="9">
        <v>500</v>
      </c>
      <c r="E135" s="9"/>
      <c r="F135" s="9"/>
      <c r="G135" s="9"/>
      <c r="H135" s="9">
        <v>500</v>
      </c>
      <c r="I135" s="9"/>
      <c r="J135" s="9"/>
      <c r="K135" s="9"/>
      <c r="L135" s="9"/>
      <c r="M135" s="9"/>
      <c r="N135" s="9"/>
      <c r="O135" s="44"/>
      <c r="P135" s="44"/>
      <c r="Q135" s="44"/>
      <c r="R135" s="44"/>
    </row>
    <row r="136" spans="1:18" x14ac:dyDescent="0.2">
      <c r="A136" s="43">
        <v>44996</v>
      </c>
      <c r="B136" s="44" t="s">
        <v>126</v>
      </c>
      <c r="C136" s="44">
        <v>528454</v>
      </c>
      <c r="D136" s="9">
        <v>500</v>
      </c>
      <c r="E136" s="9"/>
      <c r="F136" s="9"/>
      <c r="G136" s="9"/>
      <c r="H136" s="9">
        <v>500</v>
      </c>
      <c r="I136" s="9"/>
      <c r="J136" s="9"/>
      <c r="K136" s="9"/>
      <c r="L136" s="9"/>
      <c r="M136" s="9"/>
      <c r="N136" s="9"/>
      <c r="O136" s="44"/>
      <c r="P136" s="44"/>
      <c r="Q136" s="44"/>
      <c r="R136" s="44"/>
    </row>
    <row r="137" spans="1:18" x14ac:dyDescent="0.2">
      <c r="A137" s="43">
        <v>44996</v>
      </c>
      <c r="B137" s="44" t="s">
        <v>231</v>
      </c>
      <c r="C137" s="44">
        <v>528455</v>
      </c>
      <c r="D137" s="9">
        <v>100</v>
      </c>
      <c r="E137" s="9"/>
      <c r="F137" s="9"/>
      <c r="G137" s="9"/>
      <c r="H137" s="9">
        <v>100</v>
      </c>
      <c r="I137" s="9"/>
      <c r="J137" s="9"/>
      <c r="K137" s="9"/>
      <c r="L137" s="9"/>
      <c r="M137" s="9"/>
      <c r="N137" s="9"/>
      <c r="O137" s="44"/>
      <c r="P137" s="44"/>
      <c r="Q137" s="44"/>
      <c r="R137" s="44"/>
    </row>
    <row r="138" spans="1:18" x14ac:dyDescent="0.2">
      <c r="A138" s="43">
        <v>44996</v>
      </c>
      <c r="B138" s="44" t="s">
        <v>232</v>
      </c>
      <c r="C138" s="44">
        <v>528456</v>
      </c>
      <c r="D138" s="9">
        <v>500</v>
      </c>
      <c r="E138" s="9"/>
      <c r="F138" s="9"/>
      <c r="G138" s="9"/>
      <c r="H138" s="9">
        <v>500</v>
      </c>
      <c r="I138" s="9"/>
      <c r="J138" s="9"/>
      <c r="K138" s="9"/>
      <c r="L138" s="9"/>
      <c r="M138" s="9"/>
      <c r="N138" s="9"/>
      <c r="O138" s="44"/>
      <c r="P138" s="44"/>
      <c r="Q138" s="44"/>
      <c r="R138" s="44"/>
    </row>
    <row r="139" spans="1:18" x14ac:dyDescent="0.2">
      <c r="A139" s="43">
        <v>44996</v>
      </c>
      <c r="B139" s="44" t="s">
        <v>233</v>
      </c>
      <c r="C139" s="44">
        <v>528457</v>
      </c>
      <c r="D139" s="9">
        <v>2000</v>
      </c>
      <c r="E139" s="9"/>
      <c r="F139" s="9"/>
      <c r="G139" s="9"/>
      <c r="H139" s="9">
        <v>2000</v>
      </c>
      <c r="I139" s="9"/>
      <c r="J139" s="9"/>
      <c r="K139" s="9"/>
      <c r="L139" s="9"/>
      <c r="M139" s="9"/>
      <c r="N139" s="9"/>
      <c r="O139" s="44"/>
      <c r="P139" s="44"/>
      <c r="Q139" s="44"/>
      <c r="R139" s="44"/>
    </row>
    <row r="140" spans="1:18" x14ac:dyDescent="0.2">
      <c r="A140" s="43">
        <v>44996</v>
      </c>
      <c r="B140" s="44" t="s">
        <v>234</v>
      </c>
      <c r="C140" s="44">
        <v>528458</v>
      </c>
      <c r="D140" s="9">
        <v>10000</v>
      </c>
      <c r="E140" s="9"/>
      <c r="F140" s="9"/>
      <c r="G140" s="9"/>
      <c r="H140" s="9">
        <v>10000</v>
      </c>
      <c r="I140" s="9"/>
      <c r="J140" s="9"/>
      <c r="K140" s="9"/>
      <c r="L140" s="9"/>
      <c r="M140" s="9"/>
      <c r="N140" s="9"/>
      <c r="O140" s="44"/>
      <c r="P140" s="44"/>
      <c r="Q140" s="44"/>
      <c r="R140" s="44"/>
    </row>
    <row r="141" spans="1:18" x14ac:dyDescent="0.2">
      <c r="A141" s="43">
        <v>44996</v>
      </c>
      <c r="B141" s="44" t="s">
        <v>235</v>
      </c>
      <c r="C141" s="44">
        <v>528459</v>
      </c>
      <c r="D141" s="9">
        <v>100</v>
      </c>
      <c r="E141" s="9"/>
      <c r="F141" s="9"/>
      <c r="G141" s="9"/>
      <c r="H141" s="9">
        <v>100</v>
      </c>
      <c r="I141" s="9"/>
      <c r="J141" s="9"/>
      <c r="K141" s="9"/>
      <c r="L141" s="9"/>
      <c r="M141" s="9"/>
      <c r="N141" s="9"/>
      <c r="O141" s="44"/>
      <c r="P141" s="44"/>
      <c r="Q141" s="44"/>
      <c r="R141" s="44"/>
    </row>
    <row r="142" spans="1:18" x14ac:dyDescent="0.2">
      <c r="A142" s="43">
        <v>44996</v>
      </c>
      <c r="B142" s="44" t="s">
        <v>236</v>
      </c>
      <c r="C142" s="44">
        <v>528460</v>
      </c>
      <c r="D142" s="9">
        <v>500</v>
      </c>
      <c r="E142" s="9"/>
      <c r="F142" s="9"/>
      <c r="G142" s="9"/>
      <c r="H142" s="9">
        <v>500</v>
      </c>
      <c r="I142" s="9"/>
      <c r="J142" s="9"/>
      <c r="K142" s="9"/>
      <c r="L142" s="9"/>
      <c r="M142" s="9"/>
      <c r="N142" s="9"/>
      <c r="O142" s="44"/>
      <c r="P142" s="44"/>
      <c r="Q142" s="44"/>
      <c r="R142" s="44"/>
    </row>
    <row r="143" spans="1:18" x14ac:dyDescent="0.2">
      <c r="A143" s="43">
        <v>44996</v>
      </c>
      <c r="B143" s="44" t="s">
        <v>237</v>
      </c>
      <c r="C143" s="44">
        <v>528461</v>
      </c>
      <c r="D143" s="9">
        <v>500</v>
      </c>
      <c r="E143" s="9"/>
      <c r="F143" s="9"/>
      <c r="G143" s="9"/>
      <c r="H143" s="9">
        <v>500</v>
      </c>
      <c r="I143" s="9"/>
      <c r="J143" s="9"/>
      <c r="K143" s="9"/>
      <c r="L143" s="9"/>
      <c r="M143" s="9"/>
      <c r="N143" s="9"/>
      <c r="O143" s="44"/>
      <c r="P143" s="44"/>
      <c r="Q143" s="44"/>
      <c r="R143" s="44"/>
    </row>
    <row r="144" spans="1:18" x14ac:dyDescent="0.2">
      <c r="A144" s="43">
        <v>44996</v>
      </c>
      <c r="B144" s="44" t="s">
        <v>238</v>
      </c>
      <c r="C144" s="44">
        <v>528462</v>
      </c>
      <c r="D144" s="9">
        <v>1000</v>
      </c>
      <c r="E144" s="9"/>
      <c r="F144" s="9"/>
      <c r="G144" s="9"/>
      <c r="H144" s="9">
        <v>1000</v>
      </c>
      <c r="I144" s="9"/>
      <c r="J144" s="9"/>
      <c r="K144" s="9"/>
      <c r="L144" s="9"/>
      <c r="M144" s="9"/>
      <c r="N144" s="9"/>
      <c r="O144" s="44"/>
      <c r="P144" s="44"/>
      <c r="Q144" s="44"/>
      <c r="R144" s="44"/>
    </row>
    <row r="145" spans="1:18" x14ac:dyDescent="0.2">
      <c r="A145" s="43">
        <v>44996</v>
      </c>
      <c r="B145" s="44" t="s">
        <v>239</v>
      </c>
      <c r="C145" s="44">
        <v>528463</v>
      </c>
      <c r="D145" s="9">
        <v>500</v>
      </c>
      <c r="E145" s="9"/>
      <c r="F145" s="9"/>
      <c r="G145" s="9"/>
      <c r="H145" s="9">
        <v>500</v>
      </c>
      <c r="I145" s="9"/>
      <c r="J145" s="9"/>
      <c r="K145" s="9"/>
      <c r="L145" s="9"/>
      <c r="M145" s="9"/>
      <c r="N145" s="9"/>
      <c r="O145" s="44"/>
      <c r="P145" s="44"/>
      <c r="Q145" s="44"/>
      <c r="R145" s="44"/>
    </row>
    <row r="146" spans="1:18" x14ac:dyDescent="0.2">
      <c r="A146" s="43">
        <v>44996</v>
      </c>
      <c r="B146" s="44" t="s">
        <v>240</v>
      </c>
      <c r="C146" s="44">
        <v>528464</v>
      </c>
      <c r="D146" s="9">
        <v>500</v>
      </c>
      <c r="E146" s="9"/>
      <c r="F146" s="9"/>
      <c r="G146" s="9"/>
      <c r="H146" s="9">
        <v>500</v>
      </c>
      <c r="I146" s="9"/>
      <c r="J146" s="9"/>
      <c r="K146" s="9"/>
      <c r="L146" s="9"/>
      <c r="M146" s="9"/>
      <c r="N146" s="9"/>
      <c r="O146" s="44"/>
      <c r="P146" s="44"/>
      <c r="Q146" s="44"/>
      <c r="R146" s="44"/>
    </row>
    <row r="147" spans="1:18" x14ac:dyDescent="0.2">
      <c r="A147" s="43">
        <v>44996</v>
      </c>
      <c r="B147" s="44" t="s">
        <v>241</v>
      </c>
      <c r="C147" s="44">
        <v>528465</v>
      </c>
      <c r="D147" s="9">
        <v>200</v>
      </c>
      <c r="E147" s="9"/>
      <c r="F147" s="9">
        <v>200</v>
      </c>
      <c r="G147" s="9"/>
      <c r="H147" s="9"/>
      <c r="I147" s="9"/>
      <c r="J147" s="9"/>
      <c r="K147" s="9"/>
      <c r="L147" s="9"/>
      <c r="M147" s="9"/>
      <c r="N147" s="9"/>
      <c r="O147" s="44"/>
      <c r="P147" s="44"/>
      <c r="Q147" s="44"/>
      <c r="R147" s="44"/>
    </row>
    <row r="148" spans="1:18" x14ac:dyDescent="0.2">
      <c r="A148" s="43">
        <v>44996</v>
      </c>
      <c r="B148" s="44" t="s">
        <v>125</v>
      </c>
      <c r="C148" s="44">
        <v>528466</v>
      </c>
      <c r="D148" s="9">
        <v>500</v>
      </c>
      <c r="E148" s="9"/>
      <c r="F148" s="9"/>
      <c r="G148" s="9"/>
      <c r="H148" s="9"/>
      <c r="I148" s="9"/>
      <c r="J148" s="9">
        <v>500</v>
      </c>
      <c r="K148" s="9"/>
      <c r="L148" s="9"/>
      <c r="M148" s="9"/>
      <c r="N148" s="9"/>
      <c r="O148" s="44"/>
      <c r="P148" s="44"/>
      <c r="Q148" s="44"/>
      <c r="R148" s="44"/>
    </row>
    <row r="149" spans="1:18" x14ac:dyDescent="0.2">
      <c r="A149" s="43">
        <v>44996</v>
      </c>
      <c r="B149" s="44" t="s">
        <v>206</v>
      </c>
      <c r="C149" s="44">
        <v>528467</v>
      </c>
      <c r="D149" s="9">
        <v>2000</v>
      </c>
      <c r="E149" s="9"/>
      <c r="F149" s="9"/>
      <c r="G149" s="9"/>
      <c r="H149" s="9">
        <v>2000</v>
      </c>
      <c r="I149" s="9"/>
      <c r="J149" s="9"/>
      <c r="K149" s="9"/>
      <c r="L149" s="9"/>
      <c r="M149" s="9"/>
      <c r="N149" s="9"/>
      <c r="O149" s="44"/>
      <c r="P149" s="44"/>
      <c r="Q149" s="44"/>
      <c r="R149" s="44"/>
    </row>
    <row r="150" spans="1:18" x14ac:dyDescent="0.2">
      <c r="A150" s="43">
        <v>44996</v>
      </c>
      <c r="B150" s="44" t="s">
        <v>242</v>
      </c>
      <c r="C150" s="44">
        <v>528468</v>
      </c>
      <c r="D150" s="9">
        <v>300</v>
      </c>
      <c r="E150" s="9"/>
      <c r="F150" s="9"/>
      <c r="G150" s="9"/>
      <c r="H150" s="9">
        <v>300</v>
      </c>
      <c r="I150" s="9"/>
      <c r="J150" s="9"/>
      <c r="K150" s="9"/>
      <c r="L150" s="9"/>
      <c r="M150" s="9"/>
      <c r="N150" s="9"/>
      <c r="O150" s="44"/>
      <c r="P150" s="44"/>
      <c r="Q150" s="44"/>
      <c r="R150" s="44"/>
    </row>
    <row r="151" spans="1:18" x14ac:dyDescent="0.2">
      <c r="A151" s="43">
        <v>44996</v>
      </c>
      <c r="B151" s="44" t="s">
        <v>236</v>
      </c>
      <c r="C151" s="44">
        <v>528469</v>
      </c>
      <c r="D151" s="9">
        <v>100</v>
      </c>
      <c r="E151" s="9"/>
      <c r="F151" s="9"/>
      <c r="G151" s="9"/>
      <c r="H151" s="9">
        <v>100</v>
      </c>
      <c r="I151" s="9"/>
      <c r="J151" s="9"/>
      <c r="K151" s="9"/>
      <c r="L151" s="9"/>
      <c r="M151" s="9"/>
      <c r="N151" s="9"/>
      <c r="O151" s="44"/>
      <c r="P151" s="44"/>
      <c r="Q151" s="44"/>
      <c r="R151" s="44"/>
    </row>
    <row r="152" spans="1:18" x14ac:dyDescent="0.2">
      <c r="A152" s="43">
        <v>44996</v>
      </c>
      <c r="B152" s="44" t="s">
        <v>243</v>
      </c>
      <c r="C152" s="44">
        <v>528470</v>
      </c>
      <c r="D152" s="9">
        <v>50</v>
      </c>
      <c r="E152" s="9"/>
      <c r="F152" s="9"/>
      <c r="G152" s="9"/>
      <c r="H152" s="9">
        <v>50</v>
      </c>
      <c r="I152" s="9"/>
      <c r="J152" s="9"/>
      <c r="K152" s="9"/>
      <c r="L152" s="9"/>
      <c r="M152" s="9"/>
      <c r="N152" s="9"/>
      <c r="O152" s="44"/>
      <c r="P152" s="44"/>
      <c r="Q152" s="44"/>
      <c r="R152" s="44"/>
    </row>
    <row r="153" spans="1:18" x14ac:dyDescent="0.2">
      <c r="A153" s="43">
        <v>44996</v>
      </c>
      <c r="B153" s="44" t="s">
        <v>171</v>
      </c>
      <c r="C153" s="44">
        <v>528471</v>
      </c>
      <c r="D153" s="9">
        <v>3000</v>
      </c>
      <c r="E153" s="9"/>
      <c r="F153" s="9"/>
      <c r="G153" s="9"/>
      <c r="H153" s="9">
        <v>3000</v>
      </c>
      <c r="I153" s="9"/>
      <c r="J153" s="9"/>
      <c r="K153" s="9"/>
      <c r="L153" s="9"/>
      <c r="M153" s="9"/>
      <c r="N153" s="9"/>
      <c r="O153" s="44"/>
      <c r="P153" s="44"/>
      <c r="Q153" s="44"/>
      <c r="R153" s="44"/>
    </row>
    <row r="154" spans="1:18" x14ac:dyDescent="0.2">
      <c r="A154" s="43">
        <v>44996</v>
      </c>
      <c r="B154" s="46" t="s">
        <v>52</v>
      </c>
      <c r="C154" s="46">
        <v>528472</v>
      </c>
      <c r="D154" s="11">
        <v>10000</v>
      </c>
      <c r="E154" s="11"/>
      <c r="F154" s="11"/>
      <c r="G154" s="11"/>
      <c r="H154" s="11">
        <v>10000</v>
      </c>
      <c r="I154" s="11"/>
      <c r="J154" s="9"/>
      <c r="K154" s="9"/>
      <c r="L154" s="9"/>
      <c r="M154" s="9"/>
      <c r="N154" s="9"/>
      <c r="O154" s="44"/>
      <c r="P154" s="44"/>
      <c r="Q154" s="44"/>
      <c r="R154" s="44"/>
    </row>
    <row r="155" spans="1:18" x14ac:dyDescent="0.2">
      <c r="A155" s="43">
        <v>44996</v>
      </c>
      <c r="B155" s="44" t="s">
        <v>244</v>
      </c>
      <c r="C155" s="44">
        <v>528473</v>
      </c>
      <c r="D155" s="9">
        <v>200</v>
      </c>
      <c r="E155" s="9"/>
      <c r="F155" s="9"/>
      <c r="G155" s="9"/>
      <c r="H155" s="9">
        <v>200</v>
      </c>
      <c r="I155" s="9"/>
      <c r="J155" s="9"/>
      <c r="K155" s="9"/>
      <c r="L155" s="9"/>
      <c r="M155" s="9"/>
      <c r="N155" s="9"/>
      <c r="O155" s="44"/>
      <c r="P155" s="44"/>
      <c r="Q155" s="44"/>
      <c r="R155" s="44"/>
    </row>
    <row r="156" spans="1:18" x14ac:dyDescent="0.2">
      <c r="A156" s="43">
        <v>44996</v>
      </c>
      <c r="B156" s="44" t="s">
        <v>245</v>
      </c>
      <c r="C156" s="44">
        <v>528474</v>
      </c>
      <c r="D156" s="9">
        <v>200</v>
      </c>
      <c r="E156" s="9"/>
      <c r="F156" s="9"/>
      <c r="G156" s="9"/>
      <c r="H156" s="9">
        <v>200</v>
      </c>
      <c r="I156" s="9"/>
      <c r="J156" s="9"/>
      <c r="K156" s="9"/>
      <c r="L156" s="9"/>
      <c r="M156" s="9"/>
      <c r="N156" s="9"/>
      <c r="O156" s="44"/>
      <c r="P156" s="44"/>
      <c r="Q156" s="44"/>
      <c r="R156" s="44"/>
    </row>
    <row r="157" spans="1:18" x14ac:dyDescent="0.2">
      <c r="A157" s="43">
        <v>44996</v>
      </c>
      <c r="B157" s="44" t="s">
        <v>246</v>
      </c>
      <c r="C157" s="44">
        <v>528475</v>
      </c>
      <c r="D157" s="9">
        <v>200</v>
      </c>
      <c r="E157" s="9"/>
      <c r="F157" s="9"/>
      <c r="G157" s="9"/>
      <c r="H157" s="9">
        <v>200</v>
      </c>
      <c r="I157" s="9"/>
      <c r="J157" s="9"/>
      <c r="K157" s="9"/>
      <c r="L157" s="9"/>
      <c r="M157" s="9"/>
      <c r="N157" s="9"/>
      <c r="O157" s="44"/>
      <c r="P157" s="44"/>
      <c r="Q157" s="44"/>
      <c r="R157" s="44"/>
    </row>
    <row r="158" spans="1:18" x14ac:dyDescent="0.2">
      <c r="A158" s="43">
        <v>44996</v>
      </c>
      <c r="B158" s="44" t="s">
        <v>78</v>
      </c>
      <c r="C158" s="44">
        <v>528476</v>
      </c>
      <c r="D158" s="9">
        <v>22000</v>
      </c>
      <c r="E158" s="9"/>
      <c r="F158" s="9"/>
      <c r="G158" s="9"/>
      <c r="H158" s="9">
        <v>22000</v>
      </c>
      <c r="I158" s="9"/>
      <c r="J158" s="9"/>
      <c r="K158" s="9"/>
      <c r="L158" s="9"/>
      <c r="M158" s="9"/>
      <c r="N158" s="9"/>
      <c r="O158" s="44"/>
      <c r="P158" s="44"/>
      <c r="Q158" s="44"/>
      <c r="R158" s="44"/>
    </row>
    <row r="159" spans="1:18" x14ac:dyDescent="0.2">
      <c r="A159" s="43">
        <v>44996</v>
      </c>
      <c r="B159" s="44" t="s">
        <v>247</v>
      </c>
      <c r="C159" s="44">
        <v>528477</v>
      </c>
      <c r="D159" s="9">
        <v>300</v>
      </c>
      <c r="E159" s="9"/>
      <c r="F159" s="9"/>
      <c r="G159" s="9"/>
      <c r="H159" s="9">
        <v>300</v>
      </c>
      <c r="I159" s="9"/>
      <c r="J159" s="9"/>
      <c r="K159" s="9"/>
      <c r="L159" s="9"/>
      <c r="M159" s="9"/>
      <c r="N159" s="9"/>
      <c r="O159" s="44"/>
      <c r="P159" s="44"/>
      <c r="Q159" s="44"/>
      <c r="R159" s="44"/>
    </row>
    <row r="160" spans="1:18" x14ac:dyDescent="0.2">
      <c r="A160" s="43">
        <v>44996</v>
      </c>
      <c r="B160" s="44" t="s">
        <v>248</v>
      </c>
      <c r="C160" s="44">
        <v>528478</v>
      </c>
      <c r="D160" s="9">
        <v>500</v>
      </c>
      <c r="E160" s="9"/>
      <c r="F160" s="9"/>
      <c r="G160" s="9"/>
      <c r="H160" s="9">
        <v>500</v>
      </c>
      <c r="I160" s="9"/>
      <c r="J160" s="9"/>
      <c r="K160" s="9"/>
      <c r="L160" s="9"/>
      <c r="M160" s="9"/>
      <c r="N160" s="9"/>
      <c r="O160" s="44"/>
      <c r="P160" s="44"/>
      <c r="Q160" s="44"/>
      <c r="R160" s="44"/>
    </row>
    <row r="161" spans="1:18" x14ac:dyDescent="0.2">
      <c r="A161" s="43">
        <v>44996</v>
      </c>
      <c r="B161" s="44" t="s">
        <v>249</v>
      </c>
      <c r="C161" s="44">
        <v>528479</v>
      </c>
      <c r="D161" s="9">
        <v>100</v>
      </c>
      <c r="E161" s="9"/>
      <c r="F161" s="9"/>
      <c r="G161" s="9"/>
      <c r="H161" s="9">
        <v>100</v>
      </c>
      <c r="I161" s="9"/>
      <c r="J161" s="9"/>
      <c r="K161" s="9"/>
      <c r="L161" s="9"/>
      <c r="M161" s="9"/>
      <c r="N161" s="9"/>
      <c r="O161" s="44"/>
      <c r="P161" s="44"/>
      <c r="Q161" s="44"/>
      <c r="R161" s="44"/>
    </row>
    <row r="162" spans="1:18" x14ac:dyDescent="0.2">
      <c r="A162" s="43">
        <v>44996</v>
      </c>
      <c r="B162" s="44" t="s">
        <v>250</v>
      </c>
      <c r="C162" s="44">
        <v>528480</v>
      </c>
      <c r="D162" s="9">
        <v>100</v>
      </c>
      <c r="E162" s="9"/>
      <c r="F162" s="9"/>
      <c r="G162" s="9"/>
      <c r="H162" s="9">
        <v>100</v>
      </c>
      <c r="I162" s="9"/>
      <c r="J162" s="9"/>
      <c r="K162" s="9"/>
      <c r="L162" s="9"/>
      <c r="M162" s="9"/>
      <c r="N162" s="9"/>
      <c r="O162" s="44"/>
      <c r="P162" s="44"/>
      <c r="Q162" s="44"/>
      <c r="R162" s="44"/>
    </row>
    <row r="163" spans="1:18" x14ac:dyDescent="0.2">
      <c r="A163" s="43">
        <v>44996</v>
      </c>
      <c r="B163" s="44" t="s">
        <v>80</v>
      </c>
      <c r="C163" s="44">
        <v>528481</v>
      </c>
      <c r="D163" s="9">
        <v>500</v>
      </c>
      <c r="E163" s="9"/>
      <c r="F163" s="9"/>
      <c r="G163" s="9"/>
      <c r="H163" s="9"/>
      <c r="I163" s="9"/>
      <c r="J163" s="9"/>
      <c r="K163" s="9"/>
      <c r="L163" s="9"/>
      <c r="M163" s="9"/>
      <c r="N163" s="9">
        <v>500</v>
      </c>
      <c r="O163" s="44"/>
      <c r="P163" s="44"/>
      <c r="Q163" s="44"/>
      <c r="R163" s="44"/>
    </row>
    <row r="164" spans="1:18" x14ac:dyDescent="0.2">
      <c r="A164" s="43">
        <v>44996</v>
      </c>
      <c r="B164" s="44" t="s">
        <v>251</v>
      </c>
      <c r="C164" s="44">
        <v>528482</v>
      </c>
      <c r="D164" s="9">
        <v>3000</v>
      </c>
      <c r="E164" s="9"/>
      <c r="F164" s="9"/>
      <c r="G164" s="9"/>
      <c r="H164" s="9">
        <v>3000</v>
      </c>
      <c r="I164" s="9"/>
      <c r="J164" s="9"/>
      <c r="K164" s="9"/>
      <c r="L164" s="9"/>
      <c r="M164" s="9"/>
      <c r="N164" s="9"/>
      <c r="O164" s="44"/>
      <c r="P164" s="44"/>
      <c r="Q164" s="44"/>
      <c r="R164" s="44"/>
    </row>
    <row r="165" spans="1:18" x14ac:dyDescent="0.2">
      <c r="A165" s="43">
        <v>44996</v>
      </c>
      <c r="B165" s="44" t="s">
        <v>204</v>
      </c>
      <c r="C165" s="44">
        <v>528483</v>
      </c>
      <c r="D165" s="9">
        <v>5000</v>
      </c>
      <c r="E165" s="9"/>
      <c r="F165" s="9"/>
      <c r="G165" s="9"/>
      <c r="H165" s="9">
        <v>5000</v>
      </c>
      <c r="I165" s="9"/>
      <c r="J165" s="9"/>
      <c r="K165" s="9"/>
      <c r="L165" s="9"/>
      <c r="M165" s="9"/>
      <c r="N165" s="9"/>
      <c r="O165" s="44"/>
      <c r="P165" s="44"/>
      <c r="Q165" s="44"/>
      <c r="R165" s="44"/>
    </row>
    <row r="166" spans="1:18" x14ac:dyDescent="0.2">
      <c r="A166" s="43">
        <v>44996</v>
      </c>
      <c r="B166" s="44" t="s">
        <v>252</v>
      </c>
      <c r="C166" s="44">
        <v>528484</v>
      </c>
      <c r="D166" s="9">
        <v>200</v>
      </c>
      <c r="E166" s="9"/>
      <c r="F166" s="9"/>
      <c r="G166" s="9"/>
      <c r="H166" s="9">
        <v>200</v>
      </c>
      <c r="I166" s="9"/>
      <c r="J166" s="9"/>
      <c r="K166" s="9"/>
      <c r="L166" s="9"/>
      <c r="M166" s="9"/>
      <c r="N166" s="9"/>
      <c r="O166" s="44"/>
      <c r="P166" s="44"/>
      <c r="Q166" s="44"/>
      <c r="R166" s="44"/>
    </row>
    <row r="167" spans="1:18" x14ac:dyDescent="0.2">
      <c r="A167" s="43">
        <v>44996</v>
      </c>
      <c r="B167" s="44" t="s">
        <v>253</v>
      </c>
      <c r="C167" s="44">
        <v>528485</v>
      </c>
      <c r="D167" s="9">
        <v>100</v>
      </c>
      <c r="E167" s="9"/>
      <c r="F167" s="9"/>
      <c r="G167" s="9"/>
      <c r="H167" s="9">
        <v>100</v>
      </c>
      <c r="I167" s="9"/>
      <c r="J167" s="9"/>
      <c r="K167" s="9"/>
      <c r="L167" s="9"/>
      <c r="M167" s="9"/>
      <c r="N167" s="9"/>
      <c r="O167" s="44"/>
      <c r="P167" s="44"/>
      <c r="Q167" s="44"/>
      <c r="R167" s="44"/>
    </row>
    <row r="168" spans="1:18" x14ac:dyDescent="0.2">
      <c r="A168" s="43">
        <v>44996</v>
      </c>
      <c r="B168" s="44" t="s">
        <v>254</v>
      </c>
      <c r="C168" s="44">
        <v>528486</v>
      </c>
      <c r="D168" s="9">
        <v>200</v>
      </c>
      <c r="E168" s="9"/>
      <c r="F168" s="9"/>
      <c r="G168" s="9"/>
      <c r="H168" s="9">
        <v>200</v>
      </c>
      <c r="I168" s="9"/>
      <c r="J168" s="9"/>
      <c r="K168" s="9"/>
      <c r="L168" s="9"/>
      <c r="M168" s="9"/>
      <c r="N168" s="9"/>
      <c r="O168" s="44"/>
      <c r="P168" s="44"/>
      <c r="Q168" s="44"/>
      <c r="R168" s="44"/>
    </row>
    <row r="169" spans="1:18" x14ac:dyDescent="0.2">
      <c r="A169" s="43">
        <v>44996</v>
      </c>
      <c r="B169" s="44" t="s">
        <v>255</v>
      </c>
      <c r="C169" s="44">
        <v>528487</v>
      </c>
      <c r="D169" s="9">
        <v>1000</v>
      </c>
      <c r="E169" s="9"/>
      <c r="F169" s="9"/>
      <c r="G169" s="9"/>
      <c r="H169" s="9">
        <v>1000</v>
      </c>
      <c r="I169" s="9"/>
      <c r="J169" s="9"/>
      <c r="K169" s="9"/>
      <c r="L169" s="9"/>
      <c r="M169" s="9"/>
      <c r="N169" s="9"/>
      <c r="O169" s="44"/>
      <c r="P169" s="44"/>
      <c r="Q169" s="44"/>
      <c r="R169" s="44"/>
    </row>
    <row r="170" spans="1:18" x14ac:dyDescent="0.2">
      <c r="A170" s="43">
        <v>44996</v>
      </c>
      <c r="B170" s="44" t="s">
        <v>202</v>
      </c>
      <c r="C170" s="44">
        <v>528488</v>
      </c>
      <c r="D170" s="9">
        <v>2000</v>
      </c>
      <c r="E170" s="9"/>
      <c r="F170" s="9"/>
      <c r="G170" s="9"/>
      <c r="H170" s="9">
        <v>2000</v>
      </c>
      <c r="I170" s="9"/>
      <c r="J170" s="9"/>
      <c r="K170" s="9"/>
      <c r="L170" s="9"/>
      <c r="M170" s="9"/>
      <c r="N170" s="9"/>
      <c r="O170" s="44"/>
      <c r="P170" s="44"/>
      <c r="Q170" s="44"/>
      <c r="R170" s="44"/>
    </row>
    <row r="171" spans="1:18" x14ac:dyDescent="0.2">
      <c r="A171" s="43">
        <v>44996</v>
      </c>
      <c r="B171" s="44" t="s">
        <v>205</v>
      </c>
      <c r="C171" s="44">
        <v>528489</v>
      </c>
      <c r="D171" s="9">
        <v>5000</v>
      </c>
      <c r="E171" s="9"/>
      <c r="F171" s="9"/>
      <c r="G171" s="9"/>
      <c r="H171" s="9">
        <v>5000</v>
      </c>
      <c r="I171" s="9"/>
      <c r="J171" s="9"/>
      <c r="K171" s="9"/>
      <c r="L171" s="9"/>
      <c r="M171" s="9"/>
      <c r="N171" s="9"/>
      <c r="O171" s="44"/>
      <c r="P171" s="44"/>
      <c r="Q171" s="44"/>
      <c r="R171" s="44"/>
    </row>
    <row r="172" spans="1:18" x14ac:dyDescent="0.2">
      <c r="A172" s="43">
        <v>44996</v>
      </c>
      <c r="B172" s="44" t="s">
        <v>256</v>
      </c>
      <c r="C172" s="44">
        <v>528490</v>
      </c>
      <c r="D172" s="9">
        <v>1000</v>
      </c>
      <c r="E172" s="9"/>
      <c r="F172" s="9"/>
      <c r="G172" s="9"/>
      <c r="H172" s="9">
        <v>1000</v>
      </c>
      <c r="I172" s="9"/>
      <c r="J172" s="9"/>
      <c r="K172" s="9"/>
      <c r="L172" s="9"/>
      <c r="M172" s="9"/>
      <c r="N172" s="9"/>
      <c r="O172" s="44"/>
      <c r="P172" s="44"/>
      <c r="Q172" s="44"/>
      <c r="R172" s="44"/>
    </row>
    <row r="173" spans="1:18" x14ac:dyDescent="0.2">
      <c r="A173" s="43">
        <v>44996</v>
      </c>
      <c r="B173" s="44" t="s">
        <v>52</v>
      </c>
      <c r="C173" s="44">
        <v>528491</v>
      </c>
      <c r="D173" s="9">
        <v>10000</v>
      </c>
      <c r="E173" s="9"/>
      <c r="F173" s="9"/>
      <c r="G173" s="9"/>
      <c r="H173" s="9">
        <v>10000</v>
      </c>
      <c r="I173" s="9"/>
      <c r="J173" s="9"/>
      <c r="K173" s="9"/>
      <c r="L173" s="9"/>
      <c r="M173" s="9"/>
      <c r="N173" s="9"/>
      <c r="O173" s="44"/>
      <c r="P173" s="44"/>
      <c r="Q173" s="44"/>
      <c r="R173" s="44"/>
    </row>
    <row r="174" spans="1:18" x14ac:dyDescent="0.2">
      <c r="A174" s="43">
        <v>44996</v>
      </c>
      <c r="B174" s="44" t="s">
        <v>207</v>
      </c>
      <c r="C174" s="44">
        <v>528492</v>
      </c>
      <c r="D174" s="9">
        <v>2000</v>
      </c>
      <c r="E174" s="9"/>
      <c r="F174" s="9"/>
      <c r="G174" s="9"/>
      <c r="H174" s="9">
        <v>2000</v>
      </c>
      <c r="I174" s="9"/>
      <c r="J174" s="9"/>
      <c r="K174" s="9"/>
      <c r="L174" s="9"/>
      <c r="M174" s="9"/>
      <c r="N174" s="9"/>
      <c r="O174" s="44"/>
      <c r="P174" s="44"/>
      <c r="Q174" s="44"/>
      <c r="R174" s="44"/>
    </row>
    <row r="175" spans="1:18" x14ac:dyDescent="0.2">
      <c r="A175" s="43">
        <v>44996</v>
      </c>
      <c r="B175" s="44" t="s">
        <v>98</v>
      </c>
      <c r="C175" s="44">
        <v>528493</v>
      </c>
      <c r="D175" s="9">
        <v>3000</v>
      </c>
      <c r="E175" s="9"/>
      <c r="F175" s="9"/>
      <c r="G175" s="9"/>
      <c r="H175" s="9">
        <v>3000</v>
      </c>
      <c r="I175" s="9"/>
      <c r="J175" s="9"/>
      <c r="K175" s="9"/>
      <c r="L175" s="9"/>
      <c r="M175" s="9"/>
      <c r="N175" s="9"/>
      <c r="O175" s="44"/>
      <c r="P175" s="44"/>
      <c r="Q175" s="44"/>
      <c r="R175" s="44"/>
    </row>
    <row r="176" spans="1:18" x14ac:dyDescent="0.2">
      <c r="A176" s="43">
        <v>44996</v>
      </c>
      <c r="B176" s="44" t="s">
        <v>257</v>
      </c>
      <c r="C176" s="44">
        <v>528494</v>
      </c>
      <c r="D176" s="9">
        <v>1000</v>
      </c>
      <c r="E176" s="9"/>
      <c r="F176" s="9"/>
      <c r="G176" s="9"/>
      <c r="H176" s="9">
        <v>1000</v>
      </c>
      <c r="I176" s="9"/>
      <c r="J176" s="9"/>
      <c r="K176" s="9"/>
      <c r="L176" s="9"/>
      <c r="M176" s="9"/>
      <c r="N176" s="9"/>
      <c r="O176" s="44"/>
      <c r="P176" s="44"/>
      <c r="Q176" s="44"/>
      <c r="R176" s="44"/>
    </row>
    <row r="177" spans="1:18" x14ac:dyDescent="0.2">
      <c r="A177" s="43">
        <v>44996</v>
      </c>
      <c r="B177" s="44" t="s">
        <v>117</v>
      </c>
      <c r="C177" s="44">
        <v>528495</v>
      </c>
      <c r="D177" s="9">
        <v>1000</v>
      </c>
      <c r="E177" s="9"/>
      <c r="F177" s="9"/>
      <c r="G177" s="9"/>
      <c r="H177" s="9">
        <v>1000</v>
      </c>
      <c r="I177" s="9"/>
      <c r="J177" s="9"/>
      <c r="K177" s="9"/>
      <c r="L177" s="9"/>
      <c r="M177" s="9"/>
      <c r="N177" s="9"/>
      <c r="O177" s="44"/>
      <c r="P177" s="44"/>
      <c r="Q177" s="44"/>
      <c r="R177" s="44"/>
    </row>
    <row r="178" spans="1:18" x14ac:dyDescent="0.2">
      <c r="A178" s="43">
        <v>44996</v>
      </c>
      <c r="B178" s="44" t="s">
        <v>113</v>
      </c>
      <c r="C178" s="44">
        <v>528496</v>
      </c>
      <c r="D178" s="9">
        <v>2000</v>
      </c>
      <c r="E178" s="9"/>
      <c r="F178" s="9"/>
      <c r="G178" s="9"/>
      <c r="H178" s="9">
        <v>2000</v>
      </c>
      <c r="I178" s="9"/>
      <c r="J178" s="9"/>
      <c r="K178" s="9"/>
      <c r="L178" s="9"/>
      <c r="M178" s="9"/>
      <c r="N178" s="9"/>
      <c r="O178" s="44"/>
      <c r="P178" s="44"/>
      <c r="Q178" s="44"/>
      <c r="R178" s="44"/>
    </row>
    <row r="179" spans="1:18" x14ac:dyDescent="0.2">
      <c r="A179" s="43">
        <v>44996</v>
      </c>
      <c r="B179" s="44" t="s">
        <v>214</v>
      </c>
      <c r="C179" s="44">
        <v>528497</v>
      </c>
      <c r="D179" s="9">
        <v>1000</v>
      </c>
      <c r="E179" s="9"/>
      <c r="F179" s="9"/>
      <c r="G179" s="9"/>
      <c r="H179" s="9">
        <v>1000</v>
      </c>
      <c r="I179" s="9"/>
      <c r="J179" s="9"/>
      <c r="K179" s="9"/>
      <c r="L179" s="9"/>
      <c r="M179" s="9"/>
      <c r="N179" s="9"/>
      <c r="O179" s="44"/>
      <c r="P179" s="44"/>
      <c r="Q179" s="44"/>
      <c r="R179" s="44"/>
    </row>
    <row r="180" spans="1:18" x14ac:dyDescent="0.2">
      <c r="A180" s="43">
        <v>44996</v>
      </c>
      <c r="B180" s="44" t="s">
        <v>234</v>
      </c>
      <c r="C180" s="44">
        <v>528498</v>
      </c>
      <c r="D180" s="9">
        <v>1000</v>
      </c>
      <c r="E180" s="9"/>
      <c r="F180" s="9"/>
      <c r="G180" s="9"/>
      <c r="H180" s="9">
        <v>1000</v>
      </c>
      <c r="I180" s="9"/>
      <c r="J180" s="9"/>
      <c r="K180" s="9"/>
      <c r="L180" s="9"/>
      <c r="M180" s="9"/>
      <c r="N180" s="9"/>
      <c r="O180" s="44"/>
      <c r="P180" s="44"/>
      <c r="Q180" s="44"/>
      <c r="R180" s="44"/>
    </row>
    <row r="181" spans="1:18" x14ac:dyDescent="0.2">
      <c r="A181" s="43">
        <v>44996</v>
      </c>
      <c r="B181" s="44" t="s">
        <v>83</v>
      </c>
      <c r="C181" s="44">
        <v>528499</v>
      </c>
      <c r="D181" s="9">
        <v>100</v>
      </c>
      <c r="E181" s="9">
        <v>100</v>
      </c>
      <c r="F181" s="9"/>
      <c r="G181" s="9"/>
      <c r="H181" s="9"/>
      <c r="I181" s="9"/>
      <c r="J181" s="9"/>
      <c r="K181" s="9"/>
      <c r="L181" s="9"/>
      <c r="M181" s="9"/>
      <c r="N181" s="9"/>
      <c r="O181" s="44"/>
      <c r="P181" s="44"/>
      <c r="Q181" s="44"/>
      <c r="R181" s="44"/>
    </row>
    <row r="182" spans="1:18" x14ac:dyDescent="0.2">
      <c r="A182" s="43">
        <v>44996</v>
      </c>
      <c r="B182" s="44" t="s">
        <v>181</v>
      </c>
      <c r="C182" s="44">
        <v>528500</v>
      </c>
      <c r="D182" s="9">
        <v>1000</v>
      </c>
      <c r="E182" s="9"/>
      <c r="F182" s="9"/>
      <c r="G182" s="9"/>
      <c r="H182" s="9">
        <v>1000</v>
      </c>
      <c r="I182" s="9"/>
      <c r="J182" s="9"/>
      <c r="K182" s="9"/>
      <c r="L182" s="9"/>
      <c r="M182" s="9"/>
      <c r="N182" s="9"/>
      <c r="O182" s="44"/>
      <c r="P182" s="44"/>
      <c r="Q182" s="44"/>
      <c r="R182" s="44"/>
    </row>
    <row r="183" spans="1:18" x14ac:dyDescent="0.2">
      <c r="A183" s="43">
        <v>44996</v>
      </c>
      <c r="B183" s="44" t="s">
        <v>216</v>
      </c>
      <c r="C183" s="44">
        <v>528501</v>
      </c>
      <c r="D183" s="9">
        <v>500</v>
      </c>
      <c r="E183" s="9"/>
      <c r="F183" s="9"/>
      <c r="G183" s="9"/>
      <c r="H183" s="9">
        <v>500</v>
      </c>
      <c r="I183" s="9"/>
      <c r="J183" s="9"/>
      <c r="K183" s="9"/>
      <c r="L183" s="9"/>
      <c r="M183" s="9"/>
      <c r="N183" s="9"/>
      <c r="O183" s="44"/>
      <c r="P183" s="44"/>
      <c r="Q183" s="44"/>
      <c r="R183" s="44"/>
    </row>
    <row r="184" spans="1:18" x14ac:dyDescent="0.2">
      <c r="A184" s="43">
        <v>44996</v>
      </c>
      <c r="B184" s="44" t="s">
        <v>126</v>
      </c>
      <c r="C184" s="44">
        <v>528502</v>
      </c>
      <c r="D184" s="9">
        <v>200</v>
      </c>
      <c r="E184" s="9"/>
      <c r="F184" s="9">
        <v>200</v>
      </c>
      <c r="G184" s="9"/>
      <c r="H184" s="9"/>
      <c r="I184" s="9"/>
      <c r="J184" s="9"/>
      <c r="K184" s="9"/>
      <c r="L184" s="9"/>
      <c r="M184" s="9"/>
      <c r="N184" s="9"/>
      <c r="O184" s="44"/>
      <c r="P184" s="44"/>
      <c r="Q184" s="44"/>
      <c r="R184" s="44"/>
    </row>
    <row r="185" spans="1:18" x14ac:dyDescent="0.2">
      <c r="A185" s="43">
        <v>44996</v>
      </c>
      <c r="B185" s="44" t="s">
        <v>125</v>
      </c>
      <c r="C185" s="44">
        <v>528503</v>
      </c>
      <c r="D185" s="9">
        <v>100</v>
      </c>
      <c r="E185" s="9"/>
      <c r="F185" s="9"/>
      <c r="G185" s="9"/>
      <c r="H185" s="9"/>
      <c r="I185" s="9"/>
      <c r="J185" s="9">
        <v>100</v>
      </c>
      <c r="K185" s="9"/>
      <c r="L185" s="9"/>
      <c r="M185" s="9"/>
      <c r="N185" s="9"/>
      <c r="O185" s="44"/>
      <c r="P185" s="44"/>
      <c r="Q185" s="44"/>
      <c r="R185" s="44"/>
    </row>
    <row r="186" spans="1:18" x14ac:dyDescent="0.2">
      <c r="A186" s="43">
        <v>44996</v>
      </c>
      <c r="B186" s="44" t="s">
        <v>122</v>
      </c>
      <c r="C186" s="44">
        <v>528504</v>
      </c>
      <c r="D186" s="9">
        <v>100</v>
      </c>
      <c r="E186" s="9"/>
      <c r="F186" s="9">
        <v>100</v>
      </c>
      <c r="G186" s="9"/>
      <c r="H186" s="9"/>
      <c r="I186" s="9"/>
      <c r="J186" s="9"/>
      <c r="K186" s="9"/>
      <c r="L186" s="9"/>
      <c r="M186" s="9"/>
      <c r="N186" s="9"/>
      <c r="O186" s="44"/>
      <c r="P186" s="44"/>
      <c r="Q186" s="44"/>
      <c r="R186" s="44"/>
    </row>
    <row r="187" spans="1:18" x14ac:dyDescent="0.2">
      <c r="A187" s="43">
        <v>44996</v>
      </c>
      <c r="B187" s="44" t="s">
        <v>258</v>
      </c>
      <c r="C187" s="44">
        <v>528505</v>
      </c>
      <c r="D187" s="9">
        <v>2000</v>
      </c>
      <c r="E187" s="9"/>
      <c r="F187" s="9"/>
      <c r="G187" s="9"/>
      <c r="H187" s="9"/>
      <c r="I187" s="9">
        <v>2000</v>
      </c>
      <c r="J187" s="9"/>
      <c r="K187" s="9"/>
      <c r="L187" s="9"/>
      <c r="M187" s="9"/>
      <c r="N187" s="9"/>
      <c r="O187" s="44"/>
      <c r="P187" s="44"/>
      <c r="Q187" s="44"/>
      <c r="R187" s="44"/>
    </row>
    <row r="188" spans="1:18" x14ac:dyDescent="0.2">
      <c r="A188" s="43">
        <v>44996</v>
      </c>
      <c r="B188" s="44" t="s">
        <v>259</v>
      </c>
      <c r="C188" s="44">
        <v>528506</v>
      </c>
      <c r="D188" s="9">
        <v>1000</v>
      </c>
      <c r="E188" s="9"/>
      <c r="F188" s="9"/>
      <c r="G188" s="9"/>
      <c r="H188" s="9"/>
      <c r="I188" s="9"/>
      <c r="J188" s="9">
        <v>1000</v>
      </c>
      <c r="K188" s="9"/>
      <c r="L188" s="9"/>
      <c r="M188" s="9"/>
      <c r="N188" s="9"/>
      <c r="O188" s="44"/>
      <c r="P188" s="44"/>
      <c r="Q188" s="44"/>
      <c r="R188" s="44"/>
    </row>
    <row r="189" spans="1:18" x14ac:dyDescent="0.2">
      <c r="A189" s="43">
        <v>44996</v>
      </c>
      <c r="B189" s="44" t="s">
        <v>260</v>
      </c>
      <c r="C189" s="44">
        <v>528507</v>
      </c>
      <c r="D189" s="9">
        <v>500</v>
      </c>
      <c r="E189" s="9"/>
      <c r="F189" s="9">
        <v>500</v>
      </c>
      <c r="G189" s="9"/>
      <c r="H189" s="9"/>
      <c r="I189" s="9"/>
      <c r="J189" s="9"/>
      <c r="K189" s="9"/>
      <c r="L189" s="9"/>
      <c r="M189" s="9"/>
      <c r="N189" s="9"/>
      <c r="O189" s="44"/>
      <c r="P189" s="44"/>
      <c r="Q189" s="44"/>
      <c r="R189" s="44"/>
    </row>
    <row r="190" spans="1:18" x14ac:dyDescent="0.2">
      <c r="A190" s="43">
        <v>44996</v>
      </c>
      <c r="B190" s="44" t="s">
        <v>261</v>
      </c>
      <c r="C190" s="44">
        <v>528508</v>
      </c>
      <c r="D190" s="9">
        <v>100</v>
      </c>
      <c r="E190" s="9"/>
      <c r="F190" s="9">
        <v>100</v>
      </c>
      <c r="G190" s="9"/>
      <c r="H190" s="9"/>
      <c r="I190" s="9"/>
      <c r="J190" s="9"/>
      <c r="K190" s="9"/>
      <c r="L190" s="9"/>
      <c r="M190" s="9"/>
      <c r="N190" s="9"/>
      <c r="O190" s="44"/>
      <c r="P190" s="44"/>
      <c r="Q190" s="44"/>
      <c r="R190" s="44"/>
    </row>
    <row r="191" spans="1:18" x14ac:dyDescent="0.2">
      <c r="A191" s="43">
        <v>44996</v>
      </c>
      <c r="B191" s="44" t="s">
        <v>209</v>
      </c>
      <c r="C191" s="44">
        <v>528509</v>
      </c>
      <c r="D191" s="9">
        <v>37000</v>
      </c>
      <c r="E191" s="9"/>
      <c r="F191" s="9"/>
      <c r="G191" s="9"/>
      <c r="H191" s="9">
        <v>37000</v>
      </c>
      <c r="I191" s="9"/>
      <c r="J191" s="9"/>
      <c r="K191" s="9"/>
      <c r="L191" s="9"/>
      <c r="M191" s="9"/>
      <c r="N191" s="9"/>
      <c r="O191" s="44"/>
      <c r="P191" s="44"/>
      <c r="Q191" s="44"/>
      <c r="R191" s="44"/>
    </row>
    <row r="192" spans="1:18" x14ac:dyDescent="0.2">
      <c r="A192" s="43">
        <v>44996</v>
      </c>
      <c r="B192" s="44" t="s">
        <v>103</v>
      </c>
      <c r="C192" s="44">
        <v>528510</v>
      </c>
      <c r="D192" s="9">
        <v>500</v>
      </c>
      <c r="E192" s="9"/>
      <c r="F192" s="9">
        <v>500</v>
      </c>
      <c r="G192" s="9"/>
      <c r="H192" s="9"/>
      <c r="I192" s="9"/>
      <c r="J192" s="9"/>
      <c r="K192" s="9"/>
      <c r="L192" s="9"/>
      <c r="M192" s="9"/>
      <c r="N192" s="9"/>
      <c r="O192" s="44"/>
      <c r="P192" s="44"/>
      <c r="Q192" s="44"/>
      <c r="R192" s="44"/>
    </row>
    <row r="193" spans="1:19" x14ac:dyDescent="0.2">
      <c r="A193" s="43">
        <v>44996</v>
      </c>
      <c r="B193" s="44" t="s">
        <v>101</v>
      </c>
      <c r="C193" s="44">
        <v>528511</v>
      </c>
      <c r="D193" s="9">
        <v>1000</v>
      </c>
      <c r="E193" s="9"/>
      <c r="F193" s="9"/>
      <c r="G193" s="9"/>
      <c r="H193" s="9">
        <v>1000</v>
      </c>
      <c r="I193" s="9"/>
      <c r="J193" s="9"/>
      <c r="K193" s="9"/>
      <c r="L193" s="9"/>
      <c r="M193" s="9"/>
      <c r="N193" s="9"/>
      <c r="O193" s="44"/>
      <c r="P193" s="44"/>
      <c r="Q193" s="44"/>
      <c r="R193" s="44"/>
    </row>
    <row r="194" spans="1:19" x14ac:dyDescent="0.2">
      <c r="A194" s="43">
        <v>44996</v>
      </c>
      <c r="B194" s="44" t="s">
        <v>203</v>
      </c>
      <c r="C194" s="44">
        <v>528512</v>
      </c>
      <c r="D194" s="9">
        <v>500</v>
      </c>
      <c r="E194" s="9"/>
      <c r="F194" s="9"/>
      <c r="G194" s="9"/>
      <c r="H194" s="9"/>
      <c r="I194" s="9"/>
      <c r="J194" s="9"/>
      <c r="K194" s="9"/>
      <c r="L194" s="9"/>
      <c r="M194" s="9"/>
      <c r="N194" s="9">
        <v>500</v>
      </c>
      <c r="O194" s="44"/>
      <c r="P194" s="44"/>
      <c r="Q194" s="44"/>
      <c r="R194" s="44"/>
    </row>
    <row r="195" spans="1:19" x14ac:dyDescent="0.2">
      <c r="A195" s="43">
        <v>44996</v>
      </c>
      <c r="B195" s="44" t="s">
        <v>117</v>
      </c>
      <c r="C195" s="44">
        <v>528513</v>
      </c>
      <c r="D195" s="9">
        <v>500</v>
      </c>
      <c r="E195" s="9"/>
      <c r="F195" s="9"/>
      <c r="G195" s="9"/>
      <c r="H195" s="9"/>
      <c r="I195" s="9">
        <v>500</v>
      </c>
      <c r="J195" s="9"/>
      <c r="K195" s="9"/>
      <c r="L195" s="9"/>
      <c r="M195" s="9"/>
      <c r="N195" s="9"/>
      <c r="O195" s="44"/>
      <c r="P195" s="44"/>
      <c r="Q195" s="44"/>
      <c r="R195" s="44"/>
    </row>
    <row r="196" spans="1:19" x14ac:dyDescent="0.2">
      <c r="A196" s="43">
        <v>44996</v>
      </c>
      <c r="B196" s="44" t="s">
        <v>262</v>
      </c>
      <c r="C196" s="44">
        <v>528514</v>
      </c>
      <c r="D196" s="9">
        <v>20200</v>
      </c>
      <c r="E196" s="9">
        <v>20200</v>
      </c>
      <c r="F196" s="9"/>
      <c r="G196" s="9"/>
      <c r="H196" s="9"/>
      <c r="I196" s="9"/>
      <c r="J196" s="9"/>
      <c r="K196" s="9"/>
      <c r="L196" s="9"/>
      <c r="M196" s="9"/>
      <c r="N196" s="9"/>
      <c r="O196" s="44"/>
      <c r="P196" s="44"/>
      <c r="Q196" s="44"/>
      <c r="R196" s="44"/>
    </row>
    <row r="197" spans="1:19" x14ac:dyDescent="0.2">
      <c r="A197" s="43">
        <v>44996</v>
      </c>
      <c r="B197" s="44" t="s">
        <v>101</v>
      </c>
      <c r="C197" s="44">
        <v>528515</v>
      </c>
      <c r="D197" s="9">
        <v>1000</v>
      </c>
      <c r="E197" s="9">
        <v>1000</v>
      </c>
      <c r="F197" s="9"/>
      <c r="G197" s="9"/>
      <c r="H197" s="9"/>
      <c r="I197" s="9"/>
      <c r="J197" s="9"/>
      <c r="K197" s="9"/>
      <c r="L197" s="9"/>
      <c r="M197" s="9"/>
      <c r="N197" s="9"/>
      <c r="O197" s="44"/>
      <c r="P197" s="44"/>
      <c r="Q197" s="44"/>
      <c r="R197" s="44"/>
    </row>
    <row r="198" spans="1:19" x14ac:dyDescent="0.2">
      <c r="A198" s="43">
        <v>44996</v>
      </c>
      <c r="B198" s="44" t="s">
        <v>263</v>
      </c>
      <c r="C198" s="44">
        <v>528516</v>
      </c>
      <c r="D198" s="9">
        <v>1000</v>
      </c>
      <c r="E198" s="9"/>
      <c r="F198" s="9"/>
      <c r="G198" s="9"/>
      <c r="H198" s="9"/>
      <c r="I198" s="9"/>
      <c r="J198" s="9"/>
      <c r="K198" s="9"/>
      <c r="L198" s="9"/>
      <c r="M198" s="9"/>
      <c r="N198" s="9">
        <v>1000</v>
      </c>
      <c r="O198" s="44"/>
      <c r="P198" s="44"/>
      <c r="Q198" s="44"/>
      <c r="R198" s="44"/>
    </row>
    <row r="199" spans="1:19" x14ac:dyDescent="0.2">
      <c r="A199" s="43">
        <v>44996</v>
      </c>
      <c r="B199" s="44" t="s">
        <v>264</v>
      </c>
      <c r="C199" s="44">
        <v>528517</v>
      </c>
      <c r="D199" s="9">
        <v>850</v>
      </c>
      <c r="E199" s="9">
        <v>750</v>
      </c>
      <c r="F199" s="9">
        <v>100</v>
      </c>
      <c r="G199" s="9"/>
      <c r="H199" s="9"/>
      <c r="I199" s="9"/>
      <c r="J199" s="9"/>
      <c r="K199" s="9"/>
      <c r="L199" s="9"/>
      <c r="M199" s="9"/>
      <c r="N199" s="9"/>
      <c r="O199" s="44"/>
      <c r="P199" s="44"/>
      <c r="Q199" s="44"/>
      <c r="R199" s="44"/>
    </row>
    <row r="200" spans="1:19" x14ac:dyDescent="0.2">
      <c r="A200" s="43">
        <v>44996</v>
      </c>
      <c r="B200" s="44" t="s">
        <v>61</v>
      </c>
      <c r="C200" s="44">
        <v>528518</v>
      </c>
      <c r="D200" s="9">
        <v>103000</v>
      </c>
      <c r="E200" s="9"/>
      <c r="F200" s="9"/>
      <c r="G200" s="9"/>
      <c r="H200" s="9">
        <v>103000</v>
      </c>
      <c r="I200" s="9"/>
      <c r="J200" s="9"/>
      <c r="K200" s="9"/>
      <c r="L200" s="9"/>
      <c r="M200" s="9"/>
      <c r="N200" s="9"/>
      <c r="O200" s="44"/>
      <c r="P200" s="44"/>
      <c r="Q200" s="44"/>
      <c r="R200" s="44"/>
    </row>
    <row r="201" spans="1:19" x14ac:dyDescent="0.2">
      <c r="A201" s="43">
        <v>44996</v>
      </c>
      <c r="B201" s="44" t="s">
        <v>265</v>
      </c>
      <c r="C201" s="44">
        <v>528519</v>
      </c>
      <c r="D201" s="9">
        <v>100</v>
      </c>
      <c r="E201" s="9"/>
      <c r="F201" s="9">
        <v>100</v>
      </c>
      <c r="G201" s="9"/>
      <c r="H201" s="9"/>
      <c r="I201" s="9"/>
      <c r="J201" s="9"/>
      <c r="K201" s="9"/>
      <c r="L201" s="9"/>
      <c r="M201" s="9"/>
      <c r="N201" s="9"/>
      <c r="O201" s="44"/>
      <c r="P201" s="44"/>
      <c r="Q201" s="44"/>
      <c r="R201" s="44"/>
    </row>
    <row r="202" spans="1:19" x14ac:dyDescent="0.2">
      <c r="A202" s="43">
        <v>44996</v>
      </c>
      <c r="B202" s="44" t="s">
        <v>266</v>
      </c>
      <c r="C202" s="44">
        <v>528520</v>
      </c>
      <c r="D202" s="9">
        <v>50000</v>
      </c>
      <c r="E202" s="9"/>
      <c r="F202" s="9"/>
      <c r="G202" s="9"/>
      <c r="H202" s="9">
        <v>50000</v>
      </c>
      <c r="I202" s="9"/>
      <c r="J202" s="9"/>
      <c r="K202" s="9"/>
      <c r="L202" s="9"/>
      <c r="M202" s="9"/>
      <c r="N202" s="9"/>
      <c r="O202" s="44"/>
      <c r="P202" s="44"/>
      <c r="Q202" s="44"/>
      <c r="R202" s="44"/>
    </row>
    <row r="203" spans="1:19" s="4" customFormat="1" x14ac:dyDescent="0.2">
      <c r="A203" s="43" t="s">
        <v>3</v>
      </c>
      <c r="B203" s="2"/>
      <c r="C203" s="2"/>
      <c r="D203" s="3">
        <f t="shared" ref="D203:R203" si="0">SUM(D4:D202)</f>
        <v>954103</v>
      </c>
      <c r="E203" s="3">
        <f t="shared" si="0"/>
        <v>54783</v>
      </c>
      <c r="F203" s="3">
        <f t="shared" si="0"/>
        <v>7350</v>
      </c>
      <c r="G203" s="3">
        <f t="shared" si="0"/>
        <v>350</v>
      </c>
      <c r="H203" s="3">
        <f t="shared" si="0"/>
        <v>864820</v>
      </c>
      <c r="I203" s="3">
        <f t="shared" si="0"/>
        <v>6550</v>
      </c>
      <c r="J203" s="3">
        <f t="shared" si="0"/>
        <v>2000</v>
      </c>
      <c r="K203" s="3">
        <f t="shared" si="0"/>
        <v>50</v>
      </c>
      <c r="L203" s="3">
        <f t="shared" si="0"/>
        <v>0</v>
      </c>
      <c r="M203" s="3">
        <f t="shared" si="0"/>
        <v>7000</v>
      </c>
      <c r="N203" s="3">
        <f t="shared" si="0"/>
        <v>11100</v>
      </c>
      <c r="O203" s="3">
        <f t="shared" si="0"/>
        <v>0</v>
      </c>
      <c r="P203" s="3">
        <f t="shared" si="0"/>
        <v>100</v>
      </c>
      <c r="Q203" s="3">
        <f t="shared" si="0"/>
        <v>0</v>
      </c>
      <c r="R203" s="3">
        <f t="shared" si="0"/>
        <v>0</v>
      </c>
      <c r="S203" s="12">
        <f>SUM(E203:R203)</f>
        <v>954103</v>
      </c>
    </row>
    <row r="204" spans="1:19" x14ac:dyDescent="0.2">
      <c r="A204" s="13"/>
      <c r="B204" s="13"/>
      <c r="C204" s="13"/>
      <c r="D204" s="13"/>
      <c r="E204" s="14"/>
      <c r="F204" s="14"/>
      <c r="G204" s="14"/>
      <c r="H204" s="14"/>
      <c r="I204" s="14"/>
    </row>
    <row r="205" spans="1:19" x14ac:dyDescent="0.2">
      <c r="A205" s="13"/>
      <c r="B205" s="13"/>
      <c r="C205" s="13"/>
      <c r="D205" s="13">
        <f>D203-S203</f>
        <v>0</v>
      </c>
      <c r="E205" s="14"/>
      <c r="F205" s="14"/>
      <c r="G205" s="14"/>
      <c r="H205" s="14"/>
      <c r="I205" s="14"/>
    </row>
    <row r="206" spans="1:19" x14ac:dyDescent="0.2">
      <c r="A206" s="13"/>
      <c r="B206" s="15" t="s">
        <v>130</v>
      </c>
      <c r="C206" s="16"/>
      <c r="D206" s="13"/>
      <c r="E206" s="14"/>
      <c r="F206" s="14"/>
      <c r="G206" s="14"/>
      <c r="H206" s="14"/>
      <c r="I206" s="14"/>
    </row>
    <row r="207" spans="1:19" x14ac:dyDescent="0.2">
      <c r="A207" s="13"/>
      <c r="B207" s="15" t="s">
        <v>131</v>
      </c>
      <c r="C207" s="16"/>
      <c r="D207" s="14"/>
      <c r="E207" s="14"/>
      <c r="F207" s="14"/>
      <c r="G207" s="14"/>
      <c r="H207" s="14"/>
      <c r="I207" s="14"/>
    </row>
    <row r="208" spans="1:19" x14ac:dyDescent="0.2">
      <c r="A208" s="13"/>
      <c r="B208" s="17" t="s">
        <v>4</v>
      </c>
      <c r="C208" s="18">
        <f>E203</f>
        <v>54783</v>
      </c>
      <c r="D208" s="14"/>
      <c r="E208" s="14"/>
      <c r="F208" s="14"/>
      <c r="G208" s="14"/>
      <c r="H208" s="14"/>
      <c r="I208" s="14"/>
    </row>
    <row r="209" spans="1:9" x14ac:dyDescent="0.2">
      <c r="A209" s="13"/>
      <c r="B209" s="17" t="s">
        <v>132</v>
      </c>
      <c r="C209" s="19">
        <f>F203/2</f>
        <v>3675</v>
      </c>
      <c r="D209" s="14"/>
      <c r="E209" s="14"/>
      <c r="F209" s="14"/>
      <c r="G209" s="14"/>
      <c r="H209" s="14"/>
      <c r="I209" s="14"/>
    </row>
    <row r="210" spans="1:9" x14ac:dyDescent="0.2">
      <c r="A210" s="13"/>
      <c r="B210" s="17" t="s">
        <v>133</v>
      </c>
      <c r="C210" s="18">
        <f>G203</f>
        <v>350</v>
      </c>
      <c r="D210" s="14"/>
      <c r="E210" s="14"/>
      <c r="F210" s="14"/>
      <c r="G210" s="14"/>
      <c r="H210" s="14"/>
      <c r="I210" s="14"/>
    </row>
    <row r="211" spans="1:9" x14ac:dyDescent="0.2">
      <c r="A211" s="13"/>
      <c r="B211" s="17" t="s">
        <v>6</v>
      </c>
      <c r="C211" s="19">
        <f>J203/2</f>
        <v>1000</v>
      </c>
      <c r="D211" s="14"/>
      <c r="E211" s="14"/>
      <c r="F211" s="14"/>
      <c r="G211" s="14"/>
      <c r="H211" s="14"/>
      <c r="I211" s="14"/>
    </row>
    <row r="212" spans="1:9" x14ac:dyDescent="0.2">
      <c r="B212" s="17" t="s">
        <v>134</v>
      </c>
      <c r="C212" s="18">
        <f>K203</f>
        <v>50</v>
      </c>
    </row>
    <row r="213" spans="1:9" x14ac:dyDescent="0.2">
      <c r="B213" s="17" t="s">
        <v>135</v>
      </c>
      <c r="C213" s="18">
        <f>Q203</f>
        <v>0</v>
      </c>
    </row>
    <row r="214" spans="1:9" x14ac:dyDescent="0.2">
      <c r="B214" s="17" t="s">
        <v>3</v>
      </c>
      <c r="C214" s="20">
        <f>SUM(C208:C213)</f>
        <v>59858</v>
      </c>
    </row>
    <row r="216" spans="1:9" x14ac:dyDescent="0.2">
      <c r="B216" s="15" t="s">
        <v>136</v>
      </c>
      <c r="C216" s="16"/>
    </row>
    <row r="217" spans="1:9" x14ac:dyDescent="0.2">
      <c r="B217" s="17" t="s">
        <v>132</v>
      </c>
      <c r="C217" s="19">
        <f>F203/2</f>
        <v>3675</v>
      </c>
    </row>
    <row r="218" spans="1:9" x14ac:dyDescent="0.2">
      <c r="B218" s="17" t="s">
        <v>137</v>
      </c>
      <c r="C218" s="17">
        <v>0</v>
      </c>
    </row>
    <row r="219" spans="1:9" x14ac:dyDescent="0.2">
      <c r="B219" s="17" t="s">
        <v>6</v>
      </c>
      <c r="C219" s="19">
        <f>J203/2</f>
        <v>1000</v>
      </c>
    </row>
    <row r="220" spans="1:9" x14ac:dyDescent="0.2">
      <c r="B220" s="17" t="s">
        <v>267</v>
      </c>
      <c r="C220" s="19">
        <f>M203</f>
        <v>7000</v>
      </c>
    </row>
    <row r="221" spans="1:9" x14ac:dyDescent="0.2">
      <c r="B221" s="17" t="s">
        <v>268</v>
      </c>
      <c r="C221" s="19">
        <f>N203</f>
        <v>11100</v>
      </c>
    </row>
    <row r="222" spans="1:9" x14ac:dyDescent="0.2">
      <c r="B222" s="17" t="s">
        <v>46</v>
      </c>
      <c r="C222" s="19">
        <f>P203</f>
        <v>100</v>
      </c>
    </row>
    <row r="223" spans="1:9" x14ac:dyDescent="0.2">
      <c r="B223" s="17" t="s">
        <v>141</v>
      </c>
      <c r="C223" s="19">
        <f>I203</f>
        <v>6550</v>
      </c>
    </row>
    <row r="224" spans="1:9" x14ac:dyDescent="0.2">
      <c r="B224" s="17" t="s">
        <v>138</v>
      </c>
      <c r="C224" s="18">
        <f>L203</f>
        <v>0</v>
      </c>
    </row>
    <row r="225" spans="2:3" x14ac:dyDescent="0.2">
      <c r="B225" s="17" t="s">
        <v>269</v>
      </c>
      <c r="C225" s="18">
        <f>H203</f>
        <v>864820</v>
      </c>
    </row>
    <row r="226" spans="2:3" x14ac:dyDescent="0.2">
      <c r="B226" s="17" t="s">
        <v>3</v>
      </c>
      <c r="C226" s="21">
        <f>SUM(C217:C225)</f>
        <v>894245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82" t="s">
        <v>143</v>
      </c>
      <c r="D2" s="182"/>
      <c r="E2" s="182"/>
    </row>
    <row r="3" spans="3:5" x14ac:dyDescent="0.2">
      <c r="C3" s="2" t="s">
        <v>144</v>
      </c>
      <c r="D3" s="2" t="s">
        <v>145</v>
      </c>
      <c r="E3" s="2" t="s">
        <v>146</v>
      </c>
    </row>
    <row r="4" spans="3:5" x14ac:dyDescent="0.2">
      <c r="C4" s="44" t="s">
        <v>270</v>
      </c>
      <c r="D4" s="43">
        <v>44996</v>
      </c>
      <c r="E4" s="9">
        <v>5800</v>
      </c>
    </row>
    <row r="5" spans="3:5" x14ac:dyDescent="0.2">
      <c r="C5" s="44" t="s">
        <v>271</v>
      </c>
      <c r="D5" s="43">
        <v>44996</v>
      </c>
      <c r="E5" s="9">
        <v>1200</v>
      </c>
    </row>
    <row r="6" spans="3:5" x14ac:dyDescent="0.2">
      <c r="C6" s="44" t="s">
        <v>272</v>
      </c>
      <c r="D6" s="43">
        <v>44996</v>
      </c>
      <c r="E6" s="9">
        <v>13300</v>
      </c>
    </row>
    <row r="7" spans="3:5" x14ac:dyDescent="0.2">
      <c r="C7" s="44" t="s">
        <v>273</v>
      </c>
      <c r="D7" s="43">
        <v>44996</v>
      </c>
      <c r="E7" s="9">
        <v>3000</v>
      </c>
    </row>
    <row r="8" spans="3:5" x14ac:dyDescent="0.2">
      <c r="C8" s="44" t="s">
        <v>274</v>
      </c>
      <c r="D8" s="43">
        <v>44996</v>
      </c>
      <c r="E8" s="9">
        <v>3000</v>
      </c>
    </row>
    <row r="9" spans="3:5" x14ac:dyDescent="0.2">
      <c r="C9" s="44" t="s">
        <v>275</v>
      </c>
      <c r="D9" s="43">
        <v>44996</v>
      </c>
      <c r="E9" s="9">
        <v>900</v>
      </c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152</v>
      </c>
      <c r="D21" s="2"/>
      <c r="E21" s="25">
        <f>SUM(E4:E20)</f>
        <v>27200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94"/>
  <sheetViews>
    <sheetView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3" style="6" customWidth="1"/>
    <col min="11" max="11" width="15" style="6" customWidth="1"/>
    <col min="12" max="12" width="15.5" style="6" customWidth="1"/>
    <col min="13" max="13" width="13.33203125" style="6" customWidth="1"/>
    <col min="14" max="14" width="9.5" style="6" customWidth="1"/>
    <col min="17" max="17" width="10.5" customWidth="1"/>
    <col min="18" max="18" width="16.5" customWidth="1"/>
    <col min="19" max="19" width="11.5" hidden="1" customWidth="1"/>
  </cols>
  <sheetData>
    <row r="2" spans="1:18" s="4" customFormat="1" x14ac:dyDescent="0.2">
      <c r="A2" s="2"/>
      <c r="B2" s="2"/>
      <c r="C2" s="182" t="s">
        <v>276</v>
      </c>
      <c r="D2" s="182"/>
      <c r="E2" s="182"/>
      <c r="F2" s="182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6" customFormat="1" ht="48" x14ac:dyDescent="0.2">
      <c r="A3" s="27" t="s">
        <v>31</v>
      </c>
      <c r="B3" s="27" t="s">
        <v>32</v>
      </c>
      <c r="C3" s="27" t="s">
        <v>33</v>
      </c>
      <c r="D3" s="28" t="s">
        <v>34</v>
      </c>
      <c r="E3" s="28" t="s">
        <v>35</v>
      </c>
      <c r="F3" s="28" t="s">
        <v>36</v>
      </c>
      <c r="G3" s="28" t="s">
        <v>37</v>
      </c>
      <c r="H3" s="28" t="s">
        <v>38</v>
      </c>
      <c r="I3" s="28" t="s">
        <v>39</v>
      </c>
      <c r="J3" s="28" t="s">
        <v>40</v>
      </c>
      <c r="K3" s="28" t="s">
        <v>41</v>
      </c>
      <c r="L3" s="28" t="s">
        <v>42</v>
      </c>
      <c r="M3" s="28" t="s">
        <v>43</v>
      </c>
      <c r="N3" s="28" t="s">
        <v>44</v>
      </c>
      <c r="O3" s="27" t="s">
        <v>45</v>
      </c>
      <c r="P3" s="27" t="s">
        <v>46</v>
      </c>
      <c r="Q3" s="27" t="s">
        <v>47</v>
      </c>
      <c r="R3" s="27" t="s">
        <v>48</v>
      </c>
    </row>
    <row r="4" spans="1:18" x14ac:dyDescent="0.2">
      <c r="A4" s="43">
        <v>45003</v>
      </c>
      <c r="B4" s="44" t="s">
        <v>64</v>
      </c>
      <c r="C4" s="44">
        <v>528521</v>
      </c>
      <c r="D4" s="9">
        <v>1000</v>
      </c>
      <c r="E4" s="9">
        <v>1000</v>
      </c>
      <c r="F4" s="9"/>
      <c r="G4" s="9"/>
      <c r="H4" s="9"/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45003</v>
      </c>
      <c r="B5" s="44" t="s">
        <v>277</v>
      </c>
      <c r="C5" s="44">
        <f t="shared" ref="C5:C36" si="0">C4+1</f>
        <v>528522</v>
      </c>
      <c r="D5" s="9">
        <v>6000</v>
      </c>
      <c r="E5" s="9">
        <v>2000</v>
      </c>
      <c r="F5" s="9">
        <v>2000</v>
      </c>
      <c r="G5" s="9"/>
      <c r="H5" s="9">
        <v>2000</v>
      </c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45003</v>
      </c>
      <c r="B6" s="44" t="s">
        <v>204</v>
      </c>
      <c r="C6" s="44">
        <f t="shared" si="0"/>
        <v>528523</v>
      </c>
      <c r="D6" s="9">
        <v>200</v>
      </c>
      <c r="E6" s="9">
        <v>200</v>
      </c>
      <c r="F6" s="9"/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45003</v>
      </c>
      <c r="B7" s="44" t="s">
        <v>234</v>
      </c>
      <c r="C7" s="44">
        <f t="shared" si="0"/>
        <v>528524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45003</v>
      </c>
      <c r="B8" s="44" t="s">
        <v>177</v>
      </c>
      <c r="C8" s="44">
        <f t="shared" si="0"/>
        <v>528525</v>
      </c>
      <c r="D8" s="9">
        <v>1000</v>
      </c>
      <c r="E8" s="9">
        <v>1000</v>
      </c>
      <c r="F8" s="9"/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45003</v>
      </c>
      <c r="B9" s="44" t="s">
        <v>278</v>
      </c>
      <c r="C9" s="44">
        <f t="shared" si="0"/>
        <v>528526</v>
      </c>
      <c r="D9" s="9">
        <v>6000</v>
      </c>
      <c r="E9" s="9">
        <v>5500</v>
      </c>
      <c r="F9" s="9">
        <v>500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45003</v>
      </c>
      <c r="B10" s="44" t="s">
        <v>117</v>
      </c>
      <c r="C10" s="44">
        <f t="shared" si="0"/>
        <v>528527</v>
      </c>
      <c r="D10" s="9">
        <v>107000</v>
      </c>
      <c r="E10" s="9">
        <v>106000</v>
      </c>
      <c r="F10" s="9"/>
      <c r="G10" s="9"/>
      <c r="H10" s="9"/>
      <c r="I10" s="9">
        <v>1000</v>
      </c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45003</v>
      </c>
      <c r="B11" s="44" t="s">
        <v>178</v>
      </c>
      <c r="C11" s="44">
        <f t="shared" si="0"/>
        <v>528528</v>
      </c>
      <c r="D11" s="9">
        <v>100</v>
      </c>
      <c r="E11" s="9"/>
      <c r="F11" s="9"/>
      <c r="G11" s="9"/>
      <c r="H11" s="9"/>
      <c r="I11" s="9">
        <v>100</v>
      </c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45003</v>
      </c>
      <c r="B12" s="44" t="s">
        <v>74</v>
      </c>
      <c r="C12" s="44">
        <f t="shared" si="0"/>
        <v>528529</v>
      </c>
      <c r="D12" s="9">
        <v>300</v>
      </c>
      <c r="E12" s="9"/>
      <c r="F12" s="9"/>
      <c r="G12" s="9"/>
      <c r="H12" s="9"/>
      <c r="I12" s="9"/>
      <c r="J12" s="9">
        <v>200</v>
      </c>
      <c r="K12" s="9">
        <v>100</v>
      </c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45003</v>
      </c>
      <c r="B13" s="44" t="s">
        <v>85</v>
      </c>
      <c r="C13" s="44">
        <f t="shared" si="0"/>
        <v>528530</v>
      </c>
      <c r="D13" s="9">
        <v>3000</v>
      </c>
      <c r="E13" s="9"/>
      <c r="F13" s="9"/>
      <c r="G13" s="9"/>
      <c r="H13" s="9">
        <v>3000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45003</v>
      </c>
      <c r="B14" s="44" t="s">
        <v>71</v>
      </c>
      <c r="C14" s="44">
        <f t="shared" si="0"/>
        <v>528531</v>
      </c>
      <c r="D14" s="9">
        <v>200</v>
      </c>
      <c r="E14" s="9"/>
      <c r="F14" s="9">
        <v>200</v>
      </c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45003</v>
      </c>
      <c r="B15" s="44" t="s">
        <v>63</v>
      </c>
      <c r="C15" s="44">
        <f t="shared" si="0"/>
        <v>528532</v>
      </c>
      <c r="D15" s="9">
        <v>500</v>
      </c>
      <c r="E15" s="9"/>
      <c r="F15" s="9">
        <v>200</v>
      </c>
      <c r="G15" s="9"/>
      <c r="H15" s="9"/>
      <c r="I15" s="9">
        <v>300</v>
      </c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45003</v>
      </c>
      <c r="B16" s="44" t="s">
        <v>159</v>
      </c>
      <c r="C16" s="44">
        <f t="shared" si="0"/>
        <v>528533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45003</v>
      </c>
      <c r="B17" s="44" t="s">
        <v>279</v>
      </c>
      <c r="C17" s="44">
        <f t="shared" si="0"/>
        <v>528534</v>
      </c>
      <c r="D17" s="9">
        <v>1000</v>
      </c>
      <c r="E17" s="9">
        <v>1000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45003</v>
      </c>
      <c r="B18" s="44" t="s">
        <v>280</v>
      </c>
      <c r="C18" s="44">
        <f t="shared" si="0"/>
        <v>528535</v>
      </c>
      <c r="D18" s="9">
        <v>1000</v>
      </c>
      <c r="E18" s="9">
        <v>1000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45003</v>
      </c>
      <c r="B19" s="44" t="s">
        <v>281</v>
      </c>
      <c r="C19" s="44">
        <f t="shared" si="0"/>
        <v>528536</v>
      </c>
      <c r="D19" s="9">
        <v>200</v>
      </c>
      <c r="E19" s="9"/>
      <c r="F19" s="9"/>
      <c r="G19" s="9"/>
      <c r="H19" s="9"/>
      <c r="I19" s="9">
        <v>200</v>
      </c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45003</v>
      </c>
      <c r="B20" s="44" t="s">
        <v>179</v>
      </c>
      <c r="C20" s="44">
        <f t="shared" si="0"/>
        <v>528537</v>
      </c>
      <c r="D20" s="9">
        <v>100</v>
      </c>
      <c r="E20" s="9"/>
      <c r="F20" s="9">
        <v>100</v>
      </c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45003</v>
      </c>
      <c r="B21" s="44" t="s">
        <v>69</v>
      </c>
      <c r="C21" s="44">
        <f t="shared" si="0"/>
        <v>528538</v>
      </c>
      <c r="D21" s="9">
        <v>200</v>
      </c>
      <c r="E21" s="9"/>
      <c r="F21" s="9">
        <v>100</v>
      </c>
      <c r="G21" s="9"/>
      <c r="H21" s="9"/>
      <c r="I21" s="9">
        <v>50</v>
      </c>
      <c r="J21" s="9"/>
      <c r="K21" s="9">
        <v>50</v>
      </c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45003</v>
      </c>
      <c r="B22" s="44" t="s">
        <v>282</v>
      </c>
      <c r="C22" s="44">
        <f t="shared" si="0"/>
        <v>528539</v>
      </c>
      <c r="D22" s="9">
        <v>500</v>
      </c>
      <c r="E22" s="9"/>
      <c r="F22" s="9"/>
      <c r="G22" s="9"/>
      <c r="H22" s="9"/>
      <c r="I22" s="9"/>
      <c r="J22" s="9">
        <v>500</v>
      </c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45003</v>
      </c>
      <c r="B23" s="44" t="s">
        <v>283</v>
      </c>
      <c r="C23" s="44">
        <f t="shared" si="0"/>
        <v>528540</v>
      </c>
      <c r="D23" s="9">
        <v>100</v>
      </c>
      <c r="E23" s="9">
        <v>100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45003</v>
      </c>
      <c r="B24" s="44" t="s">
        <v>284</v>
      </c>
      <c r="C24" s="44">
        <f t="shared" si="0"/>
        <v>528541</v>
      </c>
      <c r="D24" s="9">
        <v>200</v>
      </c>
      <c r="E24" s="9"/>
      <c r="F24" s="9">
        <v>200</v>
      </c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45003</v>
      </c>
      <c r="B25" s="44" t="s">
        <v>67</v>
      </c>
      <c r="C25" s="44">
        <f t="shared" si="0"/>
        <v>528542</v>
      </c>
      <c r="D25" s="9">
        <v>200</v>
      </c>
      <c r="E25" s="9"/>
      <c r="F25" s="9">
        <v>50</v>
      </c>
      <c r="G25" s="9"/>
      <c r="H25" s="9">
        <v>150</v>
      </c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45003</v>
      </c>
      <c r="B26" s="44" t="s">
        <v>78</v>
      </c>
      <c r="C26" s="44">
        <f t="shared" si="0"/>
        <v>528543</v>
      </c>
      <c r="D26" s="9">
        <v>2000</v>
      </c>
      <c r="E26" s="9"/>
      <c r="F26" s="9"/>
      <c r="G26" s="9"/>
      <c r="H26" s="9"/>
      <c r="I26" s="9">
        <v>2000</v>
      </c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45003</v>
      </c>
      <c r="B27" s="44" t="s">
        <v>285</v>
      </c>
      <c r="C27" s="44">
        <f t="shared" si="0"/>
        <v>528544</v>
      </c>
      <c r="D27" s="9">
        <v>200</v>
      </c>
      <c r="E27" s="9">
        <v>200</v>
      </c>
      <c r="F27" s="9"/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45003</v>
      </c>
      <c r="B28" s="44" t="s">
        <v>286</v>
      </c>
      <c r="C28" s="44">
        <f t="shared" si="0"/>
        <v>528545</v>
      </c>
      <c r="D28" s="9">
        <v>100</v>
      </c>
      <c r="E28" s="9"/>
      <c r="F28" s="9">
        <v>100</v>
      </c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45003</v>
      </c>
      <c r="B29" s="44" t="s">
        <v>287</v>
      </c>
      <c r="C29" s="44">
        <f t="shared" si="0"/>
        <v>528546</v>
      </c>
      <c r="D29" s="9">
        <v>200</v>
      </c>
      <c r="E29" s="9">
        <v>200</v>
      </c>
      <c r="F29" s="9"/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45003</v>
      </c>
      <c r="B30" s="44" t="s">
        <v>288</v>
      </c>
      <c r="C30" s="44">
        <f t="shared" si="0"/>
        <v>528547</v>
      </c>
      <c r="D30" s="9">
        <v>500</v>
      </c>
      <c r="E30" s="9"/>
      <c r="F30" s="9">
        <v>300</v>
      </c>
      <c r="G30" s="9"/>
      <c r="H30" s="9"/>
      <c r="I30" s="9">
        <v>200</v>
      </c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45003</v>
      </c>
      <c r="B31" s="44" t="s">
        <v>289</v>
      </c>
      <c r="C31" s="44">
        <f t="shared" si="0"/>
        <v>528548</v>
      </c>
      <c r="D31" s="9">
        <v>5124</v>
      </c>
      <c r="E31" s="9"/>
      <c r="F31" s="9"/>
      <c r="G31" s="9"/>
      <c r="H31" s="9"/>
      <c r="I31" s="9">
        <v>5124</v>
      </c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45003</v>
      </c>
      <c r="B32" s="44" t="s">
        <v>103</v>
      </c>
      <c r="C32" s="44">
        <f t="shared" si="0"/>
        <v>528549</v>
      </c>
      <c r="D32" s="9">
        <v>1000</v>
      </c>
      <c r="E32" s="9"/>
      <c r="F32" s="9"/>
      <c r="G32" s="9"/>
      <c r="H32" s="9"/>
      <c r="I32" s="9"/>
      <c r="J32" s="9"/>
      <c r="K32" s="9"/>
      <c r="L32" s="9"/>
      <c r="M32" s="9"/>
      <c r="N32" s="9">
        <v>1000</v>
      </c>
      <c r="O32" s="44"/>
      <c r="P32" s="44"/>
      <c r="Q32" s="44"/>
      <c r="R32" s="44"/>
    </row>
    <row r="33" spans="1:18" x14ac:dyDescent="0.2">
      <c r="A33" s="43">
        <v>45003</v>
      </c>
      <c r="B33" s="44" t="s">
        <v>290</v>
      </c>
      <c r="C33" s="44">
        <f t="shared" si="0"/>
        <v>528550</v>
      </c>
      <c r="D33" s="9">
        <v>100</v>
      </c>
      <c r="E33" s="9"/>
      <c r="F33" s="9"/>
      <c r="G33" s="9"/>
      <c r="H33" s="9"/>
      <c r="I33" s="9"/>
      <c r="J33" s="9"/>
      <c r="K33" s="9"/>
      <c r="L33" s="9"/>
      <c r="M33" s="9"/>
      <c r="N33" s="9">
        <v>100</v>
      </c>
      <c r="O33" s="44"/>
      <c r="P33" s="44"/>
      <c r="Q33" s="44"/>
      <c r="R33" s="44"/>
    </row>
    <row r="34" spans="1:18" x14ac:dyDescent="0.2">
      <c r="A34" s="43">
        <v>45003</v>
      </c>
      <c r="B34" s="44" t="s">
        <v>68</v>
      </c>
      <c r="C34" s="44">
        <f t="shared" si="0"/>
        <v>528551</v>
      </c>
      <c r="D34" s="9">
        <v>500</v>
      </c>
      <c r="E34" s="9"/>
      <c r="F34" s="9"/>
      <c r="G34" s="9"/>
      <c r="H34" s="9"/>
      <c r="I34" s="9"/>
      <c r="J34" s="9"/>
      <c r="K34" s="9"/>
      <c r="L34" s="9"/>
      <c r="M34" s="9"/>
      <c r="N34" s="9">
        <v>500</v>
      </c>
      <c r="O34" s="44"/>
      <c r="P34" s="44"/>
      <c r="Q34" s="44"/>
      <c r="R34" s="44"/>
    </row>
    <row r="35" spans="1:18" x14ac:dyDescent="0.2">
      <c r="A35" s="43">
        <v>45003</v>
      </c>
      <c r="B35" s="44" t="s">
        <v>72</v>
      </c>
      <c r="C35" s="44">
        <f t="shared" si="0"/>
        <v>528552</v>
      </c>
      <c r="D35" s="9">
        <v>120</v>
      </c>
      <c r="E35" s="9">
        <v>120</v>
      </c>
      <c r="F35" s="9"/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45003</v>
      </c>
      <c r="B36" s="44" t="s">
        <v>264</v>
      </c>
      <c r="C36" s="44">
        <f t="shared" si="0"/>
        <v>528553</v>
      </c>
      <c r="D36" s="9">
        <v>150</v>
      </c>
      <c r="E36" s="9">
        <v>150</v>
      </c>
      <c r="F36" s="9"/>
      <c r="G36" s="9"/>
      <c r="H36" s="9"/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45003</v>
      </c>
      <c r="B37" s="44" t="s">
        <v>291</v>
      </c>
      <c r="C37" s="44">
        <f t="shared" ref="C37:C70" si="1">C36+1</f>
        <v>528554</v>
      </c>
      <c r="D37" s="9">
        <v>40000</v>
      </c>
      <c r="E37" s="9"/>
      <c r="F37" s="9"/>
      <c r="G37" s="9"/>
      <c r="H37" s="9">
        <v>40000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45003</v>
      </c>
      <c r="B38" s="44" t="s">
        <v>207</v>
      </c>
      <c r="C38" s="44">
        <f t="shared" si="1"/>
        <v>528555</v>
      </c>
      <c r="D38" s="9">
        <v>60</v>
      </c>
      <c r="E38" s="9">
        <v>60</v>
      </c>
      <c r="F38" s="9"/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45003</v>
      </c>
      <c r="B39" s="44" t="s">
        <v>101</v>
      </c>
      <c r="C39" s="44">
        <f t="shared" si="1"/>
        <v>528556</v>
      </c>
      <c r="D39" s="9">
        <v>50</v>
      </c>
      <c r="E39" s="9">
        <v>50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45003</v>
      </c>
      <c r="B40" s="44" t="s">
        <v>292</v>
      </c>
      <c r="C40" s="44">
        <f t="shared" si="1"/>
        <v>528557</v>
      </c>
      <c r="D40" s="9">
        <v>30000</v>
      </c>
      <c r="E40" s="9"/>
      <c r="F40" s="9"/>
      <c r="G40" s="9"/>
      <c r="H40" s="9">
        <v>30000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45003</v>
      </c>
      <c r="B41" s="44" t="s">
        <v>293</v>
      </c>
      <c r="C41" s="44">
        <f t="shared" si="1"/>
        <v>528558</v>
      </c>
      <c r="D41" s="9">
        <v>900</v>
      </c>
      <c r="E41" s="9">
        <v>900</v>
      </c>
      <c r="F41" s="9"/>
      <c r="G41" s="9"/>
      <c r="H41" s="9"/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45003</v>
      </c>
      <c r="B42" s="44" t="s">
        <v>294</v>
      </c>
      <c r="C42" s="44">
        <f t="shared" si="1"/>
        <v>528559</v>
      </c>
      <c r="D42" s="9">
        <v>500</v>
      </c>
      <c r="E42" s="9">
        <v>500</v>
      </c>
      <c r="F42" s="9"/>
      <c r="G42" s="9"/>
      <c r="H42" s="9"/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45003</v>
      </c>
      <c r="B43" s="44" t="s">
        <v>206</v>
      </c>
      <c r="C43" s="44">
        <f t="shared" si="1"/>
        <v>528560</v>
      </c>
      <c r="D43" s="9">
        <v>27263</v>
      </c>
      <c r="E43" s="9">
        <v>27263</v>
      </c>
      <c r="F43" s="9"/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45003</v>
      </c>
      <c r="B44" s="44" t="s">
        <v>234</v>
      </c>
      <c r="C44" s="44">
        <f t="shared" si="1"/>
        <v>528561</v>
      </c>
      <c r="D44" s="9">
        <v>57855</v>
      </c>
      <c r="E44" s="9">
        <v>57855</v>
      </c>
      <c r="F44" s="9"/>
      <c r="G44" s="9"/>
      <c r="H44" s="9"/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45003</v>
      </c>
      <c r="B45" s="44" t="s">
        <v>214</v>
      </c>
      <c r="C45" s="44">
        <f t="shared" si="1"/>
        <v>528562</v>
      </c>
      <c r="D45" s="9">
        <v>2000</v>
      </c>
      <c r="E45" s="9"/>
      <c r="F45" s="9"/>
      <c r="G45" s="9"/>
      <c r="H45" s="9">
        <v>2000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45003</v>
      </c>
      <c r="B46" s="44" t="s">
        <v>279</v>
      </c>
      <c r="C46" s="44">
        <f t="shared" si="1"/>
        <v>528563</v>
      </c>
      <c r="D46" s="9">
        <v>300</v>
      </c>
      <c r="E46" s="9"/>
      <c r="F46" s="9"/>
      <c r="G46" s="9"/>
      <c r="H46" s="9"/>
      <c r="I46" s="9"/>
      <c r="J46" s="9"/>
      <c r="K46" s="9"/>
      <c r="L46" s="9"/>
      <c r="M46" s="9"/>
      <c r="N46" s="9">
        <v>300</v>
      </c>
      <c r="O46" s="44"/>
      <c r="P46" s="44"/>
      <c r="Q46" s="44"/>
      <c r="R46" s="44"/>
    </row>
    <row r="47" spans="1:18" x14ac:dyDescent="0.2">
      <c r="A47" s="43">
        <v>45003</v>
      </c>
      <c r="B47" s="44" t="s">
        <v>295</v>
      </c>
      <c r="C47" s="44">
        <f t="shared" si="1"/>
        <v>528564</v>
      </c>
      <c r="D47" s="9">
        <v>50</v>
      </c>
      <c r="E47" s="9">
        <v>25</v>
      </c>
      <c r="F47" s="9">
        <v>25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45003</v>
      </c>
      <c r="B48" s="44" t="s">
        <v>117</v>
      </c>
      <c r="C48" s="44">
        <f t="shared" si="1"/>
        <v>528565</v>
      </c>
      <c r="D48" s="9">
        <v>100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44">
        <v>100</v>
      </c>
      <c r="P48" s="44"/>
      <c r="Q48" s="44"/>
      <c r="R48" s="44"/>
    </row>
    <row r="49" spans="1:18" x14ac:dyDescent="0.2">
      <c r="A49" s="43">
        <v>45003</v>
      </c>
      <c r="B49" s="44" t="s">
        <v>296</v>
      </c>
      <c r="C49" s="44">
        <f t="shared" si="1"/>
        <v>528566</v>
      </c>
      <c r="D49" s="9">
        <v>7000</v>
      </c>
      <c r="E49" s="9">
        <v>6550</v>
      </c>
      <c r="F49" s="9">
        <v>150</v>
      </c>
      <c r="G49" s="9"/>
      <c r="H49" s="9"/>
      <c r="I49" s="9">
        <v>200</v>
      </c>
      <c r="J49" s="9"/>
      <c r="K49" s="9">
        <v>100</v>
      </c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45003</v>
      </c>
      <c r="B50" s="44" t="s">
        <v>121</v>
      </c>
      <c r="C50" s="44">
        <f t="shared" si="1"/>
        <v>528567</v>
      </c>
      <c r="D50" s="9">
        <v>200</v>
      </c>
      <c r="E50" s="9"/>
      <c r="F50" s="9">
        <v>200</v>
      </c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45003</v>
      </c>
      <c r="B51" s="44" t="s">
        <v>297</v>
      </c>
      <c r="C51" s="44">
        <f t="shared" si="1"/>
        <v>528568</v>
      </c>
      <c r="D51" s="9">
        <v>50</v>
      </c>
      <c r="E51" s="9">
        <v>50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45003</v>
      </c>
      <c r="B52" s="44" t="s">
        <v>298</v>
      </c>
      <c r="C52" s="44">
        <f t="shared" si="1"/>
        <v>528569</v>
      </c>
      <c r="D52" s="9">
        <v>100</v>
      </c>
      <c r="E52" s="9"/>
      <c r="F52" s="9">
        <v>100</v>
      </c>
      <c r="G52" s="9"/>
      <c r="H52" s="9"/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45003</v>
      </c>
      <c r="B53" s="44" t="s">
        <v>299</v>
      </c>
      <c r="C53" s="44">
        <f t="shared" si="1"/>
        <v>528570</v>
      </c>
      <c r="D53" s="9">
        <v>200</v>
      </c>
      <c r="E53" s="9"/>
      <c r="F53" s="9">
        <v>200</v>
      </c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45003</v>
      </c>
      <c r="B54" s="44" t="s">
        <v>203</v>
      </c>
      <c r="C54" s="44">
        <f t="shared" si="1"/>
        <v>528571</v>
      </c>
      <c r="D54" s="9">
        <v>3960</v>
      </c>
      <c r="E54" s="9">
        <v>3960</v>
      </c>
      <c r="F54" s="9"/>
      <c r="G54" s="9"/>
      <c r="H54" s="9"/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45003</v>
      </c>
      <c r="B55" s="44" t="s">
        <v>300</v>
      </c>
      <c r="C55" s="44">
        <f t="shared" si="1"/>
        <v>528572</v>
      </c>
      <c r="D55" s="9">
        <v>100</v>
      </c>
      <c r="E55" s="9"/>
      <c r="F55" s="9">
        <v>100</v>
      </c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45003</v>
      </c>
      <c r="B56" s="44" t="s">
        <v>119</v>
      </c>
      <c r="C56" s="44">
        <f t="shared" si="1"/>
        <v>528573</v>
      </c>
      <c r="D56" s="9">
        <v>100</v>
      </c>
      <c r="E56" s="9"/>
      <c r="F56" s="9">
        <v>100</v>
      </c>
      <c r="G56" s="9"/>
      <c r="H56" s="9"/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45003</v>
      </c>
      <c r="B57" s="44" t="s">
        <v>301</v>
      </c>
      <c r="C57" s="44">
        <f t="shared" si="1"/>
        <v>528574</v>
      </c>
      <c r="D57" s="9">
        <v>200</v>
      </c>
      <c r="E57" s="9"/>
      <c r="F57" s="9">
        <v>200</v>
      </c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45003</v>
      </c>
      <c r="B58" s="44" t="s">
        <v>302</v>
      </c>
      <c r="C58" s="44">
        <f t="shared" si="1"/>
        <v>528575</v>
      </c>
      <c r="D58" s="9">
        <v>200</v>
      </c>
      <c r="E58" s="9"/>
      <c r="F58" s="9">
        <v>200</v>
      </c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45003</v>
      </c>
      <c r="B59" s="44" t="s">
        <v>303</v>
      </c>
      <c r="C59" s="44">
        <f t="shared" si="1"/>
        <v>528576</v>
      </c>
      <c r="D59" s="9">
        <v>200</v>
      </c>
      <c r="E59" s="9">
        <v>200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45003</v>
      </c>
      <c r="B60" s="44" t="s">
        <v>304</v>
      </c>
      <c r="C60" s="44">
        <f t="shared" si="1"/>
        <v>528577</v>
      </c>
      <c r="D60" s="9">
        <v>2000</v>
      </c>
      <c r="E60" s="9"/>
      <c r="F60" s="9"/>
      <c r="G60" s="9"/>
      <c r="H60" s="9">
        <v>2000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45003</v>
      </c>
      <c r="B61" s="44" t="s">
        <v>305</v>
      </c>
      <c r="C61" s="44">
        <f t="shared" si="1"/>
        <v>528578</v>
      </c>
      <c r="D61" s="9">
        <v>80</v>
      </c>
      <c r="E61" s="9"/>
      <c r="F61" s="9">
        <v>80</v>
      </c>
      <c r="G61" s="9"/>
      <c r="H61" s="9"/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45003</v>
      </c>
      <c r="B62" s="44" t="s">
        <v>306</v>
      </c>
      <c r="C62" s="44">
        <f t="shared" si="1"/>
        <v>528579</v>
      </c>
      <c r="D62" s="9">
        <v>400</v>
      </c>
      <c r="E62" s="9"/>
      <c r="F62" s="9">
        <v>400</v>
      </c>
      <c r="G62" s="9"/>
      <c r="H62" s="9"/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45003</v>
      </c>
      <c r="B63" s="44" t="s">
        <v>307</v>
      </c>
      <c r="C63" s="44">
        <f t="shared" si="1"/>
        <v>528580</v>
      </c>
      <c r="D63" s="9">
        <v>500</v>
      </c>
      <c r="E63" s="9"/>
      <c r="F63" s="9">
        <v>500</v>
      </c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45003</v>
      </c>
      <c r="B64" s="44" t="s">
        <v>308</v>
      </c>
      <c r="C64" s="44">
        <f t="shared" si="1"/>
        <v>528581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9" x14ac:dyDescent="0.2">
      <c r="A65" s="43">
        <v>45003</v>
      </c>
      <c r="B65" s="44" t="s">
        <v>205</v>
      </c>
      <c r="C65" s="44">
        <f t="shared" si="1"/>
        <v>528582</v>
      </c>
      <c r="D65" s="9">
        <v>2000</v>
      </c>
      <c r="E65" s="9"/>
      <c r="F65" s="9"/>
      <c r="G65" s="9"/>
      <c r="H65" s="9"/>
      <c r="I65" s="9"/>
      <c r="J65" s="9">
        <v>2000</v>
      </c>
      <c r="K65" s="9"/>
      <c r="L65" s="9"/>
      <c r="M65" s="9"/>
      <c r="N65" s="9"/>
      <c r="O65" s="44"/>
      <c r="P65" s="44"/>
      <c r="Q65" s="44"/>
      <c r="R65" s="44"/>
    </row>
    <row r="66" spans="1:19" x14ac:dyDescent="0.2">
      <c r="A66" s="43">
        <v>45003</v>
      </c>
      <c r="B66" s="44" t="s">
        <v>124</v>
      </c>
      <c r="C66" s="44">
        <f t="shared" si="1"/>
        <v>528583</v>
      </c>
      <c r="D66" s="9">
        <v>6500</v>
      </c>
      <c r="E66" s="9">
        <v>6500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9" x14ac:dyDescent="0.2">
      <c r="A67" s="43">
        <v>45003</v>
      </c>
      <c r="B67" s="44" t="s">
        <v>309</v>
      </c>
      <c r="C67" s="44">
        <f t="shared" si="1"/>
        <v>528584</v>
      </c>
      <c r="D67" s="9">
        <v>200</v>
      </c>
      <c r="E67" s="9"/>
      <c r="F67" s="9">
        <v>200</v>
      </c>
      <c r="G67" s="9"/>
      <c r="H67" s="9"/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9" x14ac:dyDescent="0.2">
      <c r="A68" s="43">
        <v>45003</v>
      </c>
      <c r="B68" s="44" t="s">
        <v>310</v>
      </c>
      <c r="C68" s="44">
        <f t="shared" si="1"/>
        <v>528585</v>
      </c>
      <c r="D68" s="9">
        <v>13000</v>
      </c>
      <c r="E68" s="9">
        <v>13000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9" x14ac:dyDescent="0.2">
      <c r="A69" s="43">
        <v>45003</v>
      </c>
      <c r="B69" s="44" t="s">
        <v>284</v>
      </c>
      <c r="C69" s="44">
        <f t="shared" si="1"/>
        <v>528586</v>
      </c>
      <c r="D69" s="9">
        <v>10000</v>
      </c>
      <c r="E69" s="9"/>
      <c r="F69" s="9"/>
      <c r="G69" s="9"/>
      <c r="H69" s="9">
        <v>10000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9" x14ac:dyDescent="0.2">
      <c r="A70" s="43">
        <v>45003</v>
      </c>
      <c r="B70" s="44" t="s">
        <v>52</v>
      </c>
      <c r="C70" s="44">
        <f t="shared" si="1"/>
        <v>528587</v>
      </c>
      <c r="D70" s="9">
        <v>2000</v>
      </c>
      <c r="E70" s="9"/>
      <c r="F70" s="9">
        <v>2000</v>
      </c>
      <c r="G70" s="9"/>
      <c r="H70" s="9"/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9" s="4" customFormat="1" x14ac:dyDescent="0.2">
      <c r="A71" s="2" t="s">
        <v>3</v>
      </c>
      <c r="B71" s="2"/>
      <c r="C71" s="2"/>
      <c r="D71" s="3">
        <f t="shared" ref="D71:R71" si="2">SUM(D4:D70)</f>
        <v>348162</v>
      </c>
      <c r="E71" s="3">
        <f t="shared" si="2"/>
        <v>235383</v>
      </c>
      <c r="F71" s="3">
        <f t="shared" si="2"/>
        <v>9305</v>
      </c>
      <c r="G71" s="3">
        <f t="shared" si="2"/>
        <v>0</v>
      </c>
      <c r="H71" s="3">
        <f t="shared" si="2"/>
        <v>89150</v>
      </c>
      <c r="I71" s="3">
        <f t="shared" si="2"/>
        <v>9374</v>
      </c>
      <c r="J71" s="3">
        <f t="shared" si="2"/>
        <v>2700</v>
      </c>
      <c r="K71" s="3">
        <f t="shared" si="2"/>
        <v>250</v>
      </c>
      <c r="L71" s="3">
        <f t="shared" si="2"/>
        <v>0</v>
      </c>
      <c r="M71" s="3">
        <f t="shared" si="2"/>
        <v>0</v>
      </c>
      <c r="N71" s="3">
        <f t="shared" si="2"/>
        <v>1900</v>
      </c>
      <c r="O71" s="3">
        <f t="shared" si="2"/>
        <v>100</v>
      </c>
      <c r="P71" s="3">
        <f t="shared" si="2"/>
        <v>0</v>
      </c>
      <c r="Q71" s="3">
        <f t="shared" si="2"/>
        <v>0</v>
      </c>
      <c r="R71" s="3">
        <f t="shared" si="2"/>
        <v>0</v>
      </c>
      <c r="S71" s="12">
        <f>SUM(E71:R71)</f>
        <v>348162</v>
      </c>
    </row>
    <row r="72" spans="1:19" ht="16" x14ac:dyDescent="0.2">
      <c r="A72" s="13"/>
      <c r="B72" s="29"/>
      <c r="C72" s="13"/>
      <c r="D72" s="14"/>
      <c r="E72" s="14"/>
      <c r="F72" s="14"/>
      <c r="G72" s="14"/>
      <c r="H72" s="14"/>
      <c r="I72" s="14"/>
    </row>
    <row r="73" spans="1:19" ht="16" x14ac:dyDescent="0.2">
      <c r="A73" s="13"/>
      <c r="B73" s="29"/>
      <c r="C73" s="13"/>
      <c r="D73" s="14">
        <f>D71-S71</f>
        <v>0</v>
      </c>
      <c r="E73" s="14"/>
      <c r="F73" s="14"/>
      <c r="G73" s="14"/>
      <c r="H73" s="14"/>
      <c r="I73" s="14"/>
    </row>
    <row r="74" spans="1:19" ht="16" x14ac:dyDescent="0.2">
      <c r="A74" s="13"/>
      <c r="B74" s="1" t="s">
        <v>130</v>
      </c>
      <c r="C74" s="16"/>
      <c r="D74" s="14"/>
      <c r="E74" s="14"/>
      <c r="F74" s="14"/>
      <c r="G74" s="14"/>
      <c r="H74" s="14"/>
      <c r="I74" s="14"/>
    </row>
    <row r="75" spans="1:19" ht="16" x14ac:dyDescent="0.2">
      <c r="A75" s="13"/>
      <c r="B75" s="1" t="s">
        <v>131</v>
      </c>
      <c r="C75" s="16"/>
      <c r="D75" s="14"/>
      <c r="E75" s="14"/>
      <c r="F75" s="14"/>
      <c r="G75" s="14"/>
      <c r="H75" s="14"/>
      <c r="I75" s="14"/>
    </row>
    <row r="76" spans="1:19" ht="16" x14ac:dyDescent="0.2">
      <c r="A76" s="13"/>
      <c r="B76" s="30" t="s">
        <v>4</v>
      </c>
      <c r="C76" s="18">
        <f>E71</f>
        <v>235383</v>
      </c>
      <c r="D76" s="14"/>
      <c r="E76" s="14"/>
      <c r="F76" s="14"/>
      <c r="G76" s="14"/>
      <c r="H76" s="14"/>
      <c r="I76" s="14"/>
    </row>
    <row r="77" spans="1:19" ht="16" x14ac:dyDescent="0.2">
      <c r="A77" s="13"/>
      <c r="B77" s="30" t="s">
        <v>132</v>
      </c>
      <c r="C77" s="19">
        <f>F71/2</f>
        <v>4652.5</v>
      </c>
      <c r="D77" s="14"/>
      <c r="E77" s="14"/>
      <c r="F77" s="14"/>
      <c r="G77" s="14"/>
      <c r="H77" s="14"/>
      <c r="I77" s="14"/>
    </row>
    <row r="78" spans="1:19" ht="16" x14ac:dyDescent="0.2">
      <c r="A78" s="13"/>
      <c r="B78" s="30" t="s">
        <v>133</v>
      </c>
      <c r="C78" s="18">
        <f>G71</f>
        <v>0</v>
      </c>
      <c r="D78" s="14"/>
      <c r="E78" s="14"/>
      <c r="F78" s="14"/>
      <c r="G78" s="14"/>
      <c r="H78" s="14"/>
      <c r="I78" s="14"/>
    </row>
    <row r="79" spans="1:19" ht="16" x14ac:dyDescent="0.2">
      <c r="A79" s="13"/>
      <c r="B79" s="30" t="s">
        <v>6</v>
      </c>
      <c r="C79" s="19">
        <f>J71/2</f>
        <v>1350</v>
      </c>
      <c r="D79" s="14"/>
      <c r="E79" s="14"/>
      <c r="F79" s="14"/>
      <c r="G79" s="14"/>
      <c r="H79" s="14"/>
      <c r="I79" s="14"/>
    </row>
    <row r="80" spans="1:19" ht="16" x14ac:dyDescent="0.2">
      <c r="B80" s="30" t="s">
        <v>134</v>
      </c>
      <c r="C80" s="18">
        <f>K71</f>
        <v>250</v>
      </c>
    </row>
    <row r="81" spans="2:3" ht="16" x14ac:dyDescent="0.2">
      <c r="B81" s="30" t="s">
        <v>135</v>
      </c>
      <c r="C81" s="18">
        <f>Q71</f>
        <v>0</v>
      </c>
    </row>
    <row r="82" spans="2:3" ht="16" x14ac:dyDescent="0.2">
      <c r="B82" s="30" t="s">
        <v>3</v>
      </c>
      <c r="C82" s="20">
        <f>SUM(C76:C81)</f>
        <v>241635.5</v>
      </c>
    </row>
    <row r="83" spans="2:3" ht="16" x14ac:dyDescent="0.2">
      <c r="B83" s="29"/>
    </row>
    <row r="84" spans="2:3" ht="16" x14ac:dyDescent="0.2">
      <c r="B84" s="1" t="s">
        <v>136</v>
      </c>
      <c r="C84" s="16"/>
    </row>
    <row r="85" spans="2:3" ht="16" x14ac:dyDescent="0.2">
      <c r="B85" s="30" t="s">
        <v>132</v>
      </c>
      <c r="C85" s="19">
        <f>F71/2</f>
        <v>4652.5</v>
      </c>
    </row>
    <row r="86" spans="2:3" ht="16" x14ac:dyDescent="0.2">
      <c r="B86" s="30" t="s">
        <v>137</v>
      </c>
      <c r="C86" s="17">
        <v>0</v>
      </c>
    </row>
    <row r="87" spans="2:3" x14ac:dyDescent="0.2">
      <c r="B87" s="17" t="s">
        <v>6</v>
      </c>
      <c r="C87" s="19">
        <f>J71/2</f>
        <v>1350</v>
      </c>
    </row>
    <row r="88" spans="2:3" x14ac:dyDescent="0.2">
      <c r="B88" s="17" t="s">
        <v>138</v>
      </c>
      <c r="C88" s="18">
        <f>L71</f>
        <v>0</v>
      </c>
    </row>
    <row r="89" spans="2:3" x14ac:dyDescent="0.2">
      <c r="B89" s="17" t="s">
        <v>139</v>
      </c>
      <c r="C89" s="18">
        <f>H71</f>
        <v>89150</v>
      </c>
    </row>
    <row r="90" spans="2:3" x14ac:dyDescent="0.2">
      <c r="B90" s="17" t="s">
        <v>141</v>
      </c>
      <c r="C90" s="18">
        <f>I71</f>
        <v>9374</v>
      </c>
    </row>
    <row r="91" spans="2:3" x14ac:dyDescent="0.2">
      <c r="B91" s="17" t="s">
        <v>43</v>
      </c>
      <c r="C91" s="18">
        <f>M71</f>
        <v>0</v>
      </c>
    </row>
    <row r="92" spans="2:3" x14ac:dyDescent="0.2">
      <c r="B92" s="31" t="s">
        <v>44</v>
      </c>
      <c r="C92" s="18">
        <f>N71</f>
        <v>1900</v>
      </c>
    </row>
    <row r="93" spans="2:3" x14ac:dyDescent="0.2">
      <c r="B93" s="17" t="s">
        <v>311</v>
      </c>
      <c r="C93" s="17">
        <v>0</v>
      </c>
    </row>
    <row r="94" spans="2:3" x14ac:dyDescent="0.2">
      <c r="B94" s="17" t="s">
        <v>3</v>
      </c>
      <c r="C94" s="21">
        <f>SUM(C85:C93)</f>
        <v>106426.5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E21"/>
  <sheetViews>
    <sheetView topLeftCell="A2" workbookViewId="0">
      <selection activeCell="E13" sqref="E13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82" t="s">
        <v>143</v>
      </c>
      <c r="D2" s="182"/>
      <c r="E2" s="182"/>
    </row>
    <row r="3" spans="3:5" x14ac:dyDescent="0.2">
      <c r="C3" s="2" t="s">
        <v>144</v>
      </c>
      <c r="D3" s="2" t="s">
        <v>145</v>
      </c>
      <c r="E3" s="2" t="s">
        <v>146</v>
      </c>
    </row>
    <row r="4" spans="3:5" x14ac:dyDescent="0.2">
      <c r="C4" s="44" t="s">
        <v>312</v>
      </c>
      <c r="D4" s="43">
        <v>45003</v>
      </c>
      <c r="E4" s="9">
        <v>2000</v>
      </c>
    </row>
    <row r="5" spans="3:5" x14ac:dyDescent="0.2">
      <c r="C5" s="44" t="s">
        <v>313</v>
      </c>
      <c r="D5" s="43">
        <v>45003</v>
      </c>
      <c r="E5" s="9">
        <v>2500</v>
      </c>
    </row>
    <row r="6" spans="3:5" x14ac:dyDescent="0.2">
      <c r="C6" s="44" t="s">
        <v>314</v>
      </c>
      <c r="D6" s="43">
        <v>45003</v>
      </c>
      <c r="E6" s="9">
        <v>19500</v>
      </c>
    </row>
    <row r="7" spans="3:5" x14ac:dyDescent="0.2">
      <c r="C7" s="44" t="s">
        <v>315</v>
      </c>
      <c r="D7" s="43">
        <v>45003</v>
      </c>
      <c r="E7" s="9">
        <v>800</v>
      </c>
    </row>
    <row r="8" spans="3:5" x14ac:dyDescent="0.2">
      <c r="C8" s="44"/>
      <c r="D8" s="44"/>
      <c r="E8" s="44"/>
    </row>
    <row r="9" spans="3:5" x14ac:dyDescent="0.2">
      <c r="C9" s="44"/>
      <c r="D9" s="44"/>
      <c r="E9" s="44"/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152</v>
      </c>
      <c r="D21" s="2"/>
      <c r="E21" s="25">
        <f>SUM(E4:E20)</f>
        <v>24800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104"/>
  <sheetViews>
    <sheetView topLeftCell="G1" workbookViewId="0">
      <pane ySplit="3" topLeftCell="A33" activePane="bottomLeft" state="frozen"/>
      <selection pane="bottomLeft" activeCell="M42" sqref="M42"/>
    </sheetView>
  </sheetViews>
  <sheetFormatPr baseColWidth="10" defaultColWidth="8.6640625" defaultRowHeight="15" x14ac:dyDescent="0.2"/>
  <cols>
    <col min="1" max="1" width="10.6640625" style="6" customWidth="1"/>
    <col min="2" max="2" width="23.5" style="6" customWidth="1"/>
    <col min="3" max="3" width="15.6640625" style="6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6.5" style="6" customWidth="1"/>
    <col min="11" max="11" width="19.5" style="6" customWidth="1"/>
    <col min="12" max="12" width="15.5" style="6" customWidth="1"/>
    <col min="13" max="13" width="13.33203125" style="6" customWidth="1"/>
    <col min="14" max="14" width="9.5" style="6" customWidth="1"/>
    <col min="15" max="16" width="8.6640625" style="6"/>
    <col min="17" max="17" width="10.5" style="6" customWidth="1"/>
    <col min="18" max="18" width="8.6640625" style="6"/>
    <col min="19" max="19" width="11.5" style="6" hidden="1" customWidth="1"/>
    <col min="20" max="16384" width="8.6640625" style="6"/>
  </cols>
  <sheetData>
    <row r="2" spans="1:19" x14ac:dyDescent="0.2">
      <c r="A2" s="9"/>
      <c r="B2" s="9"/>
      <c r="C2" s="3" t="s">
        <v>316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32" customFormat="1" ht="32" x14ac:dyDescent="0.2">
      <c r="A3" s="28" t="s">
        <v>31</v>
      </c>
      <c r="B3" s="28" t="s">
        <v>32</v>
      </c>
      <c r="C3" s="28" t="s">
        <v>33</v>
      </c>
      <c r="D3" s="28" t="s">
        <v>34</v>
      </c>
      <c r="E3" s="28" t="s">
        <v>35</v>
      </c>
      <c r="F3" s="28" t="s">
        <v>36</v>
      </c>
      <c r="G3" s="28" t="s">
        <v>37</v>
      </c>
      <c r="H3" s="28" t="s">
        <v>38</v>
      </c>
      <c r="I3" s="28" t="s">
        <v>39</v>
      </c>
      <c r="J3" s="28" t="s">
        <v>40</v>
      </c>
      <c r="K3" s="28" t="s">
        <v>41</v>
      </c>
      <c r="L3" s="28" t="s">
        <v>42</v>
      </c>
      <c r="M3" s="28" t="s">
        <v>43</v>
      </c>
      <c r="N3" s="28" t="s">
        <v>44</v>
      </c>
      <c r="O3" s="28" t="s">
        <v>45</v>
      </c>
      <c r="P3" s="28" t="s">
        <v>46</v>
      </c>
      <c r="Q3" s="28" t="s">
        <v>47</v>
      </c>
      <c r="R3" s="28" t="s">
        <v>317</v>
      </c>
      <c r="S3" s="28"/>
    </row>
    <row r="4" spans="1:19" x14ac:dyDescent="0.2">
      <c r="A4" s="9">
        <v>45010</v>
      </c>
      <c r="B4" s="9" t="s">
        <v>318</v>
      </c>
      <c r="C4" s="9">
        <v>528588</v>
      </c>
      <c r="D4" s="9">
        <v>6282</v>
      </c>
      <c r="E4" s="9"/>
      <c r="F4" s="9"/>
      <c r="G4" s="9"/>
      <c r="H4" s="9"/>
      <c r="I4" s="9">
        <v>6282</v>
      </c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A5" s="9">
        <v>45010</v>
      </c>
      <c r="B5" s="9" t="s">
        <v>319</v>
      </c>
      <c r="C5" s="9">
        <v>528589</v>
      </c>
      <c r="D5" s="9">
        <v>13000</v>
      </c>
      <c r="E5" s="9">
        <v>12000</v>
      </c>
      <c r="F5" s="9"/>
      <c r="G5" s="9"/>
      <c r="H5" s="9"/>
      <c r="I5" s="9"/>
      <c r="J5" s="9"/>
      <c r="K5" s="9"/>
      <c r="L5" s="9"/>
      <c r="M5" s="9">
        <v>1000</v>
      </c>
      <c r="N5" s="9"/>
      <c r="O5" s="9"/>
      <c r="P5" s="9"/>
      <c r="Q5" s="9"/>
      <c r="R5" s="9"/>
      <c r="S5" s="9"/>
    </row>
    <row r="6" spans="1:19" x14ac:dyDescent="0.2">
      <c r="A6" s="9">
        <v>45010</v>
      </c>
      <c r="B6" s="9" t="s">
        <v>320</v>
      </c>
      <c r="C6" s="9">
        <v>528590</v>
      </c>
      <c r="D6" s="9">
        <v>50</v>
      </c>
      <c r="E6" s="9"/>
      <c r="F6" s="9">
        <v>50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2">
      <c r="A7" s="9">
        <v>45010</v>
      </c>
      <c r="B7" s="9" t="s">
        <v>321</v>
      </c>
      <c r="C7" s="9">
        <v>528591</v>
      </c>
      <c r="D7" s="9">
        <v>2500</v>
      </c>
      <c r="E7" s="9">
        <v>2500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9">
        <v>45010</v>
      </c>
      <c r="B8" s="9" t="s">
        <v>322</v>
      </c>
      <c r="C8" s="9">
        <v>528592</v>
      </c>
      <c r="D8" s="9">
        <v>16000</v>
      </c>
      <c r="E8" s="9">
        <v>15720</v>
      </c>
      <c r="F8" s="9"/>
      <c r="G8" s="9">
        <v>280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9">
        <v>45010</v>
      </c>
      <c r="B9" s="9" t="s">
        <v>323</v>
      </c>
      <c r="C9" s="9">
        <v>528593</v>
      </c>
      <c r="D9" s="9">
        <v>200</v>
      </c>
      <c r="E9" s="9">
        <v>200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2">
      <c r="A10" s="9">
        <v>45010</v>
      </c>
      <c r="B10" s="9" t="s">
        <v>324</v>
      </c>
      <c r="C10" s="9">
        <v>528594</v>
      </c>
      <c r="D10" s="9">
        <v>1000</v>
      </c>
      <c r="E10" s="9"/>
      <c r="F10" s="9"/>
      <c r="G10" s="9"/>
      <c r="H10" s="9"/>
      <c r="I10" s="9">
        <v>500</v>
      </c>
      <c r="J10" s="9"/>
      <c r="K10" s="9">
        <v>500</v>
      </c>
      <c r="L10" s="9"/>
      <c r="M10" s="9"/>
      <c r="N10" s="9"/>
      <c r="O10" s="9"/>
      <c r="P10" s="9"/>
      <c r="Q10" s="9"/>
      <c r="R10" s="9"/>
      <c r="S10" s="9"/>
    </row>
    <row r="11" spans="1:19" x14ac:dyDescent="0.2">
      <c r="A11" s="9">
        <v>45010</v>
      </c>
      <c r="B11" s="9" t="s">
        <v>325</v>
      </c>
      <c r="C11" s="9">
        <v>528595</v>
      </c>
      <c r="D11" s="9">
        <v>1000</v>
      </c>
      <c r="E11" s="9"/>
      <c r="F11" s="9">
        <v>1000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2">
      <c r="A12" s="9">
        <v>45010</v>
      </c>
      <c r="B12" s="9" t="s">
        <v>326</v>
      </c>
      <c r="C12" s="9">
        <v>528596</v>
      </c>
      <c r="D12" s="9">
        <v>220</v>
      </c>
      <c r="E12" s="9">
        <v>120</v>
      </c>
      <c r="F12" s="9">
        <v>100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2">
      <c r="A13" s="9">
        <v>45010</v>
      </c>
      <c r="B13" s="9" t="s">
        <v>327</v>
      </c>
      <c r="C13" s="9">
        <v>528597</v>
      </c>
      <c r="D13" s="9">
        <v>100</v>
      </c>
      <c r="E13" s="9"/>
      <c r="F13" s="9"/>
      <c r="G13" s="9"/>
      <c r="H13" s="9"/>
      <c r="I13" s="9">
        <v>100</v>
      </c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2">
      <c r="A14" s="9">
        <v>45010</v>
      </c>
      <c r="B14" s="9" t="s">
        <v>328</v>
      </c>
      <c r="C14" s="9">
        <v>528598</v>
      </c>
      <c r="D14" s="9">
        <v>100</v>
      </c>
      <c r="E14" s="9">
        <v>100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2">
      <c r="A15" s="9">
        <v>45010</v>
      </c>
      <c r="B15" s="9" t="s">
        <v>329</v>
      </c>
      <c r="C15" s="9">
        <v>528599</v>
      </c>
      <c r="D15" s="9">
        <v>100</v>
      </c>
      <c r="E15" s="9"/>
      <c r="F15" s="9"/>
      <c r="G15" s="9"/>
      <c r="H15" s="9"/>
      <c r="I15" s="9">
        <v>100</v>
      </c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">
      <c r="A16" s="9">
        <v>45010</v>
      </c>
      <c r="B16" s="9" t="s">
        <v>330</v>
      </c>
      <c r="C16" s="9">
        <v>528600</v>
      </c>
      <c r="D16" s="9">
        <v>90</v>
      </c>
      <c r="E16" s="9">
        <v>90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2">
      <c r="A17" s="9">
        <v>45010</v>
      </c>
      <c r="B17" s="9" t="s">
        <v>331</v>
      </c>
      <c r="C17" s="9">
        <v>499801</v>
      </c>
      <c r="D17" s="9">
        <v>1000</v>
      </c>
      <c r="E17" s="9">
        <v>500</v>
      </c>
      <c r="F17" s="9">
        <v>500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2">
      <c r="A18" s="9">
        <v>45010</v>
      </c>
      <c r="B18" s="9" t="s">
        <v>332</v>
      </c>
      <c r="C18" s="9">
        <v>499802</v>
      </c>
      <c r="D18" s="9">
        <v>4000</v>
      </c>
      <c r="E18" s="9"/>
      <c r="F18" s="9"/>
      <c r="G18" s="9"/>
      <c r="H18" s="9"/>
      <c r="I18" s="9">
        <v>3500</v>
      </c>
      <c r="J18" s="9"/>
      <c r="K18" s="9"/>
      <c r="L18" s="9"/>
      <c r="M18" s="9"/>
      <c r="N18" s="9"/>
      <c r="O18" s="9"/>
      <c r="P18" s="9"/>
      <c r="Q18" s="9"/>
      <c r="R18" s="9">
        <v>500</v>
      </c>
      <c r="S18" s="9"/>
    </row>
    <row r="19" spans="1:19" x14ac:dyDescent="0.2">
      <c r="A19" s="9">
        <v>45010</v>
      </c>
      <c r="B19" s="9" t="s">
        <v>333</v>
      </c>
      <c r="C19" s="9">
        <v>499803</v>
      </c>
      <c r="D19" s="9">
        <v>2000</v>
      </c>
      <c r="E19" s="9">
        <v>2000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2">
      <c r="A20" s="9">
        <v>45010</v>
      </c>
      <c r="B20" s="9" t="s">
        <v>334</v>
      </c>
      <c r="C20" s="9">
        <v>499804</v>
      </c>
      <c r="D20" s="9">
        <v>200</v>
      </c>
      <c r="E20" s="9">
        <v>200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">
      <c r="A21" s="9">
        <v>45010</v>
      </c>
      <c r="B21" s="9" t="s">
        <v>335</v>
      </c>
      <c r="C21" s="9">
        <v>499805</v>
      </c>
      <c r="D21" s="9">
        <v>1700</v>
      </c>
      <c r="E21" s="9">
        <v>1700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2">
      <c r="A22" s="9">
        <v>45010</v>
      </c>
      <c r="B22" s="9" t="s">
        <v>336</v>
      </c>
      <c r="C22" s="9">
        <v>499806</v>
      </c>
      <c r="D22" s="9">
        <v>200</v>
      </c>
      <c r="E22" s="9"/>
      <c r="F22" s="9">
        <v>100</v>
      </c>
      <c r="G22" s="9"/>
      <c r="H22" s="9"/>
      <c r="I22" s="9"/>
      <c r="J22" s="9">
        <v>100</v>
      </c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9">
        <v>45010</v>
      </c>
      <c r="B23" s="9" t="s">
        <v>334</v>
      </c>
      <c r="C23" s="9">
        <v>499807</v>
      </c>
      <c r="D23" s="9">
        <v>200</v>
      </c>
      <c r="E23" s="9"/>
      <c r="F23" s="9"/>
      <c r="G23" s="9"/>
      <c r="H23" s="9"/>
      <c r="I23" s="9">
        <v>200</v>
      </c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2">
      <c r="A24" s="9">
        <v>45010</v>
      </c>
      <c r="B24" s="9" t="s">
        <v>337</v>
      </c>
      <c r="C24" s="9">
        <v>499808</v>
      </c>
      <c r="D24" s="9">
        <v>200</v>
      </c>
      <c r="E24" s="9"/>
      <c r="F24" s="9"/>
      <c r="G24" s="9"/>
      <c r="H24" s="9"/>
      <c r="I24" s="9">
        <v>200</v>
      </c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">
      <c r="A25" s="9">
        <v>45010</v>
      </c>
      <c r="B25" s="9" t="s">
        <v>338</v>
      </c>
      <c r="C25" s="9">
        <v>499809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">
      <c r="A26" s="9">
        <v>45010</v>
      </c>
      <c r="B26" s="9" t="s">
        <v>339</v>
      </c>
      <c r="C26" s="9">
        <v>499810</v>
      </c>
      <c r="D26" s="9">
        <v>6000</v>
      </c>
      <c r="E26" s="9">
        <v>5800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v>200</v>
      </c>
      <c r="S26" s="9"/>
    </row>
    <row r="27" spans="1:19" x14ac:dyDescent="0.2">
      <c r="A27" s="9">
        <v>45010</v>
      </c>
      <c r="B27" s="9" t="s">
        <v>340</v>
      </c>
      <c r="C27" s="9">
        <v>499811</v>
      </c>
      <c r="D27" s="9">
        <v>200</v>
      </c>
      <c r="E27" s="9"/>
      <c r="F27" s="9">
        <v>50</v>
      </c>
      <c r="G27" s="9"/>
      <c r="H27" s="9">
        <v>150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">
      <c r="A28" s="9">
        <v>45010</v>
      </c>
      <c r="B28" s="9" t="s">
        <v>341</v>
      </c>
      <c r="C28" s="9">
        <v>499812</v>
      </c>
      <c r="D28" s="9">
        <v>200</v>
      </c>
      <c r="E28" s="9">
        <v>150</v>
      </c>
      <c r="F28" s="9"/>
      <c r="G28" s="9"/>
      <c r="H28" s="9"/>
      <c r="I28" s="9">
        <v>50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">
      <c r="A29" s="9">
        <v>45010</v>
      </c>
      <c r="B29" s="9" t="s">
        <v>342</v>
      </c>
      <c r="C29" s="9">
        <v>499813</v>
      </c>
      <c r="D29" s="9">
        <v>1600</v>
      </c>
      <c r="E29" s="9">
        <v>1500</v>
      </c>
      <c r="F29" s="9">
        <v>100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2">
      <c r="A30" s="9">
        <v>45010</v>
      </c>
      <c r="B30" s="9" t="s">
        <v>343</v>
      </c>
      <c r="C30" s="9">
        <v>499814</v>
      </c>
      <c r="D30" s="9">
        <v>200</v>
      </c>
      <c r="E30" s="9"/>
      <c r="F30" s="9"/>
      <c r="G30" s="9"/>
      <c r="H30" s="9"/>
      <c r="I30" s="9">
        <v>200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">
      <c r="A31" s="9">
        <v>45010</v>
      </c>
      <c r="B31" s="9" t="s">
        <v>344</v>
      </c>
      <c r="C31" s="9">
        <v>499815</v>
      </c>
      <c r="D31" s="9">
        <v>500</v>
      </c>
      <c r="E31" s="9"/>
      <c r="F31" s="9">
        <v>200</v>
      </c>
      <c r="G31" s="9"/>
      <c r="H31" s="9"/>
      <c r="I31" s="9">
        <v>300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2">
      <c r="A32" s="9">
        <v>45010</v>
      </c>
      <c r="B32" s="9" t="s">
        <v>345</v>
      </c>
      <c r="C32" s="9">
        <v>499816</v>
      </c>
      <c r="D32" s="9">
        <v>430</v>
      </c>
      <c r="E32" s="9">
        <v>430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">
      <c r="A33" s="9">
        <v>45010</v>
      </c>
      <c r="B33" s="9" t="s">
        <v>346</v>
      </c>
      <c r="C33" s="9">
        <v>499817</v>
      </c>
      <c r="D33" s="9">
        <v>500</v>
      </c>
      <c r="E33" s="9">
        <v>500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2">
      <c r="A34" s="9">
        <v>45010</v>
      </c>
      <c r="B34" s="9" t="s">
        <v>347</v>
      </c>
      <c r="C34" s="9">
        <v>499818</v>
      </c>
      <c r="D34" s="9">
        <v>200</v>
      </c>
      <c r="E34" s="9"/>
      <c r="F34" s="9"/>
      <c r="G34" s="9"/>
      <c r="H34" s="9"/>
      <c r="I34" s="9">
        <v>200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2">
      <c r="A35" s="9">
        <v>45010</v>
      </c>
      <c r="B35" s="9" t="s">
        <v>348</v>
      </c>
      <c r="C35" s="9">
        <v>499819</v>
      </c>
      <c r="D35" s="9">
        <v>1000</v>
      </c>
      <c r="E35" s="9">
        <v>800</v>
      </c>
      <c r="F35" s="9"/>
      <c r="G35" s="9"/>
      <c r="H35" s="9">
        <v>200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A36" s="9">
        <v>45010</v>
      </c>
      <c r="B36" s="9" t="s">
        <v>349</v>
      </c>
      <c r="C36" s="9">
        <v>499820</v>
      </c>
      <c r="D36" s="9">
        <v>1150</v>
      </c>
      <c r="E36" s="9"/>
      <c r="F36" s="9"/>
      <c r="G36" s="9">
        <v>1000</v>
      </c>
      <c r="H36" s="9"/>
      <c r="I36" s="9">
        <v>150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">
      <c r="A37" s="9">
        <v>45010</v>
      </c>
      <c r="B37" s="9" t="s">
        <v>350</v>
      </c>
      <c r="C37" s="9">
        <v>499821</v>
      </c>
      <c r="D37" s="9">
        <v>400</v>
      </c>
      <c r="E37" s="9">
        <v>300</v>
      </c>
      <c r="F37" s="9"/>
      <c r="G37" s="9"/>
      <c r="H37" s="9"/>
      <c r="I37" s="9">
        <v>50</v>
      </c>
      <c r="J37" s="9"/>
      <c r="K37" s="9">
        <v>50</v>
      </c>
      <c r="L37" s="9"/>
      <c r="M37" s="9"/>
      <c r="N37" s="9"/>
      <c r="O37" s="9"/>
      <c r="P37" s="9"/>
      <c r="Q37" s="9"/>
      <c r="R37" s="9"/>
      <c r="S37" s="9"/>
    </row>
    <row r="38" spans="1:19" x14ac:dyDescent="0.2">
      <c r="A38" s="9">
        <v>45010</v>
      </c>
      <c r="B38" s="9" t="s">
        <v>351</v>
      </c>
      <c r="C38" s="9">
        <v>499822</v>
      </c>
      <c r="D38" s="9">
        <v>10300</v>
      </c>
      <c r="E38" s="9"/>
      <c r="F38" s="9"/>
      <c r="G38" s="9"/>
      <c r="H38" s="9">
        <v>10000</v>
      </c>
      <c r="I38" s="9">
        <v>100</v>
      </c>
      <c r="J38" s="9">
        <v>200</v>
      </c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">
      <c r="A39" s="9">
        <v>45010</v>
      </c>
      <c r="B39" s="9" t="s">
        <v>352</v>
      </c>
      <c r="C39" s="9">
        <v>499823</v>
      </c>
      <c r="D39" s="9">
        <v>800</v>
      </c>
      <c r="E39" s="9"/>
      <c r="F39" s="9"/>
      <c r="G39" s="9"/>
      <c r="H39" s="9">
        <v>800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">
      <c r="A40" s="9">
        <v>45010</v>
      </c>
      <c r="B40" s="9" t="s">
        <v>353</v>
      </c>
      <c r="C40" s="9">
        <v>499824</v>
      </c>
      <c r="D40" s="9">
        <v>200</v>
      </c>
      <c r="E40" s="9">
        <v>200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">
      <c r="A41" s="9">
        <v>45010</v>
      </c>
      <c r="B41" s="9" t="s">
        <v>354</v>
      </c>
      <c r="C41" s="9">
        <v>499825</v>
      </c>
      <c r="D41" s="9">
        <v>1000</v>
      </c>
      <c r="E41" s="9"/>
      <c r="F41" s="9"/>
      <c r="G41" s="9"/>
      <c r="H41" s="9">
        <v>1000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">
      <c r="A42" s="9">
        <v>45010</v>
      </c>
      <c r="B42" s="9" t="s">
        <v>355</v>
      </c>
      <c r="C42" s="9">
        <v>499826</v>
      </c>
      <c r="D42" s="9">
        <v>7938</v>
      </c>
      <c r="E42" s="9">
        <v>7938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9">
        <v>45010</v>
      </c>
      <c r="B43" s="9" t="s">
        <v>356</v>
      </c>
      <c r="C43" s="9">
        <v>499827</v>
      </c>
      <c r="D43" s="9">
        <v>400</v>
      </c>
      <c r="E43" s="9">
        <v>200</v>
      </c>
      <c r="F43" s="9"/>
      <c r="G43" s="9"/>
      <c r="H43" s="9"/>
      <c r="I43" s="9"/>
      <c r="J43" s="9">
        <v>200</v>
      </c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">
      <c r="A44" s="9">
        <v>45010</v>
      </c>
      <c r="B44" s="9" t="s">
        <v>357</v>
      </c>
      <c r="C44" s="9">
        <v>499828</v>
      </c>
      <c r="D44" s="9">
        <v>420</v>
      </c>
      <c r="E44" s="9">
        <v>120</v>
      </c>
      <c r="F44" s="9"/>
      <c r="G44" s="9"/>
      <c r="H44" s="9">
        <v>200</v>
      </c>
      <c r="I44" s="9"/>
      <c r="J44" s="9"/>
      <c r="K44" s="9"/>
      <c r="L44" s="9"/>
      <c r="M44" s="9"/>
      <c r="N44" s="9"/>
      <c r="O44" s="9"/>
      <c r="P44" s="9"/>
      <c r="Q44" s="9"/>
      <c r="R44" s="9">
        <v>100</v>
      </c>
      <c r="S44" s="9"/>
    </row>
    <row r="45" spans="1:19" x14ac:dyDescent="0.2">
      <c r="A45" s="9">
        <v>45010</v>
      </c>
      <c r="B45" s="9" t="s">
        <v>358</v>
      </c>
      <c r="C45" s="9">
        <v>499829</v>
      </c>
      <c r="D45" s="9">
        <v>500</v>
      </c>
      <c r="E45" s="9"/>
      <c r="F45" s="9"/>
      <c r="G45" s="9"/>
      <c r="H45" s="9">
        <v>500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">
      <c r="A46" s="9">
        <v>45010</v>
      </c>
      <c r="B46" s="9" t="s">
        <v>359</v>
      </c>
      <c r="C46" s="9">
        <v>499830</v>
      </c>
      <c r="D46" s="9">
        <v>22370</v>
      </c>
      <c r="E46" s="9">
        <v>22370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">
      <c r="A47" s="9">
        <v>45010</v>
      </c>
      <c r="B47" s="9" t="s">
        <v>360</v>
      </c>
      <c r="C47" s="9">
        <v>499831</v>
      </c>
      <c r="D47" s="9">
        <v>500</v>
      </c>
      <c r="E47" s="9"/>
      <c r="F47" s="9"/>
      <c r="G47" s="9"/>
      <c r="H47" s="9"/>
      <c r="I47" s="9">
        <v>200</v>
      </c>
      <c r="J47" s="9"/>
      <c r="K47" s="9"/>
      <c r="L47" s="9">
        <v>300</v>
      </c>
      <c r="M47" s="9"/>
      <c r="N47" s="9"/>
      <c r="O47" s="9"/>
      <c r="P47" s="9"/>
      <c r="Q47" s="9"/>
      <c r="R47" s="9"/>
      <c r="S47" s="9"/>
    </row>
    <row r="48" spans="1:19" x14ac:dyDescent="0.2">
      <c r="A48" s="9">
        <v>45010</v>
      </c>
      <c r="B48" s="9" t="s">
        <v>361</v>
      </c>
      <c r="C48" s="9">
        <v>499832</v>
      </c>
      <c r="D48" s="9">
        <v>100</v>
      </c>
      <c r="E48" s="9"/>
      <c r="F48" s="9">
        <v>100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">
      <c r="A49" s="9">
        <v>45010</v>
      </c>
      <c r="B49" s="9" t="s">
        <v>362</v>
      </c>
      <c r="C49" s="9">
        <v>499833</v>
      </c>
      <c r="D49" s="9">
        <v>200</v>
      </c>
      <c r="E49" s="9"/>
      <c r="F49" s="9">
        <v>200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9">
        <v>45010</v>
      </c>
      <c r="B50" s="9" t="s">
        <v>363</v>
      </c>
      <c r="C50" s="9">
        <v>499834</v>
      </c>
      <c r="D50" s="9">
        <v>3000</v>
      </c>
      <c r="E50" s="9"/>
      <c r="F50" s="9"/>
      <c r="G50" s="9"/>
      <c r="H50" s="9"/>
      <c r="I50" s="9"/>
      <c r="J50" s="9"/>
      <c r="K50" s="9"/>
      <c r="L50" s="9"/>
      <c r="M50" s="9">
        <v>3000</v>
      </c>
      <c r="N50" s="9"/>
      <c r="O50" s="9"/>
      <c r="P50" s="9"/>
      <c r="Q50" s="9"/>
      <c r="R50" s="9"/>
      <c r="S50" s="9"/>
    </row>
    <row r="51" spans="1:19" x14ac:dyDescent="0.2">
      <c r="A51" s="9">
        <v>45010</v>
      </c>
      <c r="B51" s="9" t="s">
        <v>364</v>
      </c>
      <c r="C51" s="9">
        <v>499835</v>
      </c>
      <c r="D51" s="9">
        <v>1000</v>
      </c>
      <c r="E51" s="9"/>
      <c r="F51" s="9">
        <v>1000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9">
        <v>45010</v>
      </c>
      <c r="B52" s="9" t="s">
        <v>365</v>
      </c>
      <c r="C52" s="9">
        <v>499836</v>
      </c>
      <c r="D52" s="9">
        <v>1000</v>
      </c>
      <c r="E52" s="9"/>
      <c r="F52" s="9"/>
      <c r="G52" s="9"/>
      <c r="H52" s="9"/>
      <c r="I52" s="9">
        <v>1000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">
      <c r="A53" s="9">
        <v>45010</v>
      </c>
      <c r="B53" s="9" t="s">
        <v>366</v>
      </c>
      <c r="C53" s="9">
        <v>499837</v>
      </c>
      <c r="D53" s="9">
        <v>2000</v>
      </c>
      <c r="E53" s="9">
        <v>2000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">
      <c r="A54" s="9">
        <v>45010</v>
      </c>
      <c r="B54" s="9" t="s">
        <v>367</v>
      </c>
      <c r="C54" s="9">
        <v>499838</v>
      </c>
      <c r="D54" s="9">
        <v>10000</v>
      </c>
      <c r="E54" s="9"/>
      <c r="F54" s="9"/>
      <c r="G54" s="9"/>
      <c r="H54" s="9">
        <v>10000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">
      <c r="A55" s="9">
        <v>45010</v>
      </c>
      <c r="B55" s="9" t="s">
        <v>368</v>
      </c>
      <c r="C55" s="9">
        <v>499839</v>
      </c>
      <c r="D55" s="9">
        <v>50</v>
      </c>
      <c r="E55" s="9"/>
      <c r="F55" s="9">
        <v>50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">
      <c r="A56" s="9">
        <v>45010</v>
      </c>
      <c r="B56" s="9" t="s">
        <v>369</v>
      </c>
      <c r="C56" s="9">
        <v>499840</v>
      </c>
      <c r="D56" s="9">
        <v>100</v>
      </c>
      <c r="E56" s="9">
        <v>100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">
      <c r="A57" s="9">
        <v>45010</v>
      </c>
      <c r="B57" s="9" t="s">
        <v>370</v>
      </c>
      <c r="C57" s="9">
        <v>499841</v>
      </c>
      <c r="D57" s="9">
        <v>500</v>
      </c>
      <c r="E57" s="9"/>
      <c r="F57" s="9">
        <v>500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">
      <c r="A58" s="9">
        <v>45010</v>
      </c>
      <c r="B58" s="9" t="s">
        <v>371</v>
      </c>
      <c r="C58" s="9">
        <v>499842</v>
      </c>
      <c r="D58" s="9">
        <v>2000</v>
      </c>
      <c r="E58" s="9"/>
      <c r="F58" s="9"/>
      <c r="G58" s="9"/>
      <c r="H58" s="9">
        <v>2000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9">
        <v>45010</v>
      </c>
      <c r="B59" s="9" t="s">
        <v>372</v>
      </c>
      <c r="C59" s="9">
        <v>499843</v>
      </c>
      <c r="D59" s="9">
        <v>20</v>
      </c>
      <c r="E59" s="9"/>
      <c r="F59" s="9">
        <v>20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9">
        <v>45010</v>
      </c>
      <c r="B60" s="9" t="s">
        <v>373</v>
      </c>
      <c r="C60" s="9">
        <v>499844</v>
      </c>
      <c r="D60" s="9">
        <v>200</v>
      </c>
      <c r="E60" s="9"/>
      <c r="F60" s="9"/>
      <c r="G60" s="9"/>
      <c r="H60" s="9"/>
      <c r="I60" s="9">
        <v>200</v>
      </c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9">
        <v>45010</v>
      </c>
      <c r="B61" s="9" t="s">
        <v>374</v>
      </c>
      <c r="C61" s="9">
        <v>499845</v>
      </c>
      <c r="D61" s="9">
        <v>20</v>
      </c>
      <c r="E61" s="9">
        <v>20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2">
      <c r="A62" s="9">
        <v>45010</v>
      </c>
      <c r="B62" s="9" t="s">
        <v>358</v>
      </c>
      <c r="C62" s="9">
        <v>499846</v>
      </c>
      <c r="D62" s="9">
        <v>100</v>
      </c>
      <c r="E62" s="9"/>
      <c r="F62" s="9">
        <v>100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9">
        <v>45010</v>
      </c>
      <c r="B63" s="9" t="s">
        <v>375</v>
      </c>
      <c r="C63" s="9">
        <v>499847</v>
      </c>
      <c r="D63" s="9">
        <v>100</v>
      </c>
      <c r="E63" s="9"/>
      <c r="F63" s="9">
        <v>100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2">
      <c r="A64" s="9">
        <v>45010</v>
      </c>
      <c r="B64" s="9" t="s">
        <v>376</v>
      </c>
      <c r="C64" s="9">
        <v>499848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9">
        <v>45010</v>
      </c>
      <c r="B65" s="9" t="s">
        <v>377</v>
      </c>
      <c r="C65" s="9">
        <v>499849</v>
      </c>
      <c r="D65" s="9">
        <v>5000</v>
      </c>
      <c r="E65" s="9">
        <v>5000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9">
        <v>45010</v>
      </c>
      <c r="B66" s="9" t="s">
        <v>378</v>
      </c>
      <c r="C66" s="9">
        <v>499850</v>
      </c>
      <c r="D66" s="9">
        <v>500</v>
      </c>
      <c r="E66" s="9"/>
      <c r="F66" s="9"/>
      <c r="G66" s="9"/>
      <c r="H66" s="9"/>
      <c r="I66" s="9">
        <v>500</v>
      </c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9">
        <v>45010</v>
      </c>
      <c r="B67" s="9" t="s">
        <v>379</v>
      </c>
      <c r="C67" s="9">
        <v>499851</v>
      </c>
      <c r="D67" s="9">
        <v>500</v>
      </c>
      <c r="E67" s="9"/>
      <c r="F67" s="9"/>
      <c r="G67" s="9"/>
      <c r="H67" s="9"/>
      <c r="I67" s="9">
        <v>300</v>
      </c>
      <c r="J67" s="9"/>
      <c r="K67" s="9"/>
      <c r="L67" s="9">
        <v>200</v>
      </c>
      <c r="M67" s="9"/>
      <c r="N67" s="9"/>
      <c r="O67" s="9"/>
      <c r="P67" s="9"/>
      <c r="Q67" s="9"/>
      <c r="R67" s="9"/>
      <c r="S67" s="9"/>
    </row>
    <row r="68" spans="1:19" x14ac:dyDescent="0.2">
      <c r="A68" s="9">
        <v>45010</v>
      </c>
      <c r="B68" s="9" t="s">
        <v>380</v>
      </c>
      <c r="C68" s="9">
        <v>499852</v>
      </c>
      <c r="D68" s="9">
        <v>1000</v>
      </c>
      <c r="E68" s="9"/>
      <c r="F68" s="9">
        <v>1000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9">
        <v>45010</v>
      </c>
      <c r="B69" s="9" t="s">
        <v>381</v>
      </c>
      <c r="C69" s="9">
        <v>499853</v>
      </c>
      <c r="D69" s="9">
        <v>100</v>
      </c>
      <c r="E69" s="9"/>
      <c r="F69" s="9">
        <v>100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">
      <c r="A70" s="9">
        <v>45010</v>
      </c>
      <c r="B70" s="9" t="s">
        <v>382</v>
      </c>
      <c r="C70" s="9">
        <v>499854</v>
      </c>
      <c r="D70" s="9">
        <v>500</v>
      </c>
      <c r="E70" s="9">
        <v>500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">
      <c r="A71" s="9">
        <v>45010</v>
      </c>
      <c r="B71" s="9" t="s">
        <v>383</v>
      </c>
      <c r="C71" s="9">
        <v>499855</v>
      </c>
      <c r="D71" s="9">
        <v>100</v>
      </c>
      <c r="E71" s="9">
        <v>100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9">
        <v>45010</v>
      </c>
      <c r="B72" s="9" t="s">
        <v>384</v>
      </c>
      <c r="C72" s="9">
        <v>499856</v>
      </c>
      <c r="D72" s="9">
        <v>100</v>
      </c>
      <c r="E72" s="9"/>
      <c r="F72" s="9">
        <v>100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9">
        <v>45010</v>
      </c>
      <c r="B73" s="9" t="s">
        <v>385</v>
      </c>
      <c r="C73" s="9">
        <v>499857</v>
      </c>
      <c r="D73" s="9">
        <v>500</v>
      </c>
      <c r="E73" s="9">
        <v>500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9">
        <v>45010</v>
      </c>
      <c r="B74" s="9" t="s">
        <v>386</v>
      </c>
      <c r="C74" s="9">
        <v>499858</v>
      </c>
      <c r="D74" s="9">
        <v>300</v>
      </c>
      <c r="E74" s="9"/>
      <c r="F74" s="9"/>
      <c r="G74" s="9"/>
      <c r="H74" s="9"/>
      <c r="I74" s="9"/>
      <c r="J74" s="9">
        <v>300</v>
      </c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">
      <c r="A75" s="9">
        <v>45010</v>
      </c>
      <c r="B75" s="9" t="s">
        <v>387</v>
      </c>
      <c r="C75" s="9">
        <v>499859</v>
      </c>
      <c r="D75" s="9">
        <v>200</v>
      </c>
      <c r="E75" s="9">
        <v>200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9">
        <v>45010</v>
      </c>
      <c r="B76" s="9" t="s">
        <v>388</v>
      </c>
      <c r="C76" s="9">
        <v>499860</v>
      </c>
      <c r="D76" s="9">
        <v>100</v>
      </c>
      <c r="E76" s="9"/>
      <c r="F76" s="9"/>
      <c r="G76" s="9"/>
      <c r="H76" s="9"/>
      <c r="I76" s="9"/>
      <c r="J76" s="9">
        <v>100</v>
      </c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">
      <c r="A77" s="9">
        <v>45010</v>
      </c>
      <c r="B77" s="9" t="s">
        <v>389</v>
      </c>
      <c r="C77" s="9">
        <v>499861</v>
      </c>
      <c r="D77" s="9">
        <v>500</v>
      </c>
      <c r="E77" s="9"/>
      <c r="F77" s="9"/>
      <c r="G77" s="9"/>
      <c r="H77" s="9"/>
      <c r="I77" s="9">
        <v>500</v>
      </c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">
      <c r="A78" s="9">
        <v>45010</v>
      </c>
      <c r="B78" s="9" t="s">
        <v>390</v>
      </c>
      <c r="C78" s="9">
        <v>499862</v>
      </c>
      <c r="D78" s="9">
        <v>350</v>
      </c>
      <c r="E78" s="9"/>
      <c r="F78" s="9"/>
      <c r="G78" s="9"/>
      <c r="H78" s="9"/>
      <c r="I78" s="9">
        <v>350</v>
      </c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2">
      <c r="A79" s="9">
        <v>45010</v>
      </c>
      <c r="B79" s="9" t="s">
        <v>391</v>
      </c>
      <c r="C79" s="9">
        <v>499863</v>
      </c>
      <c r="D79" s="9">
        <v>500</v>
      </c>
      <c r="E79" s="9">
        <v>430</v>
      </c>
      <c r="F79" s="9"/>
      <c r="G79" s="9"/>
      <c r="H79" s="9"/>
      <c r="I79" s="9">
        <v>70</v>
      </c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9">
        <v>45010</v>
      </c>
      <c r="B80" s="9" t="s">
        <v>318</v>
      </c>
      <c r="C80" s="9">
        <v>499864</v>
      </c>
      <c r="D80" s="9">
        <v>520</v>
      </c>
      <c r="E80" s="9"/>
      <c r="F80" s="9"/>
      <c r="G80" s="9"/>
      <c r="H80" s="9"/>
      <c r="I80" s="9">
        <v>520</v>
      </c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2">
      <c r="A81" s="9" t="s">
        <v>3</v>
      </c>
      <c r="B81" s="9"/>
      <c r="C81" s="9"/>
      <c r="D81" s="9">
        <f t="shared" ref="D81:R81" si="0">SUM(D4:D80)</f>
        <v>138410</v>
      </c>
      <c r="E81" s="9">
        <f t="shared" si="0"/>
        <v>84488</v>
      </c>
      <c r="F81" s="9">
        <f t="shared" si="0"/>
        <v>5470</v>
      </c>
      <c r="G81" s="9">
        <f t="shared" si="0"/>
        <v>1280</v>
      </c>
      <c r="H81" s="9">
        <f t="shared" si="0"/>
        <v>24850</v>
      </c>
      <c r="I81" s="9">
        <f t="shared" si="0"/>
        <v>15572</v>
      </c>
      <c r="J81" s="9">
        <f t="shared" si="0"/>
        <v>900</v>
      </c>
      <c r="K81" s="9">
        <f t="shared" si="0"/>
        <v>550</v>
      </c>
      <c r="L81" s="9">
        <f t="shared" si="0"/>
        <v>500</v>
      </c>
      <c r="M81" s="9">
        <f t="shared" si="0"/>
        <v>4000</v>
      </c>
      <c r="N81" s="9">
        <f t="shared" si="0"/>
        <v>0</v>
      </c>
      <c r="O81" s="9">
        <f t="shared" si="0"/>
        <v>0</v>
      </c>
      <c r="P81" s="9">
        <f t="shared" si="0"/>
        <v>0</v>
      </c>
      <c r="Q81" s="9">
        <f t="shared" si="0"/>
        <v>0</v>
      </c>
      <c r="R81" s="9">
        <f t="shared" si="0"/>
        <v>800</v>
      </c>
      <c r="S81" s="9">
        <f>SUM(E81:R81)</f>
        <v>138410</v>
      </c>
    </row>
    <row r="83" spans="1:19" x14ac:dyDescent="0.2">
      <c r="D83" s="6">
        <f>D81-S81</f>
        <v>0</v>
      </c>
    </row>
    <row r="84" spans="1:19" x14ac:dyDescent="0.2">
      <c r="B84" s="6" t="s">
        <v>130</v>
      </c>
    </row>
    <row r="85" spans="1:19" x14ac:dyDescent="0.2">
      <c r="B85" s="6" t="s">
        <v>131</v>
      </c>
    </row>
    <row r="86" spans="1:19" x14ac:dyDescent="0.2">
      <c r="B86" s="9" t="s">
        <v>4</v>
      </c>
      <c r="C86" s="9">
        <f>E81</f>
        <v>84488</v>
      </c>
    </row>
    <row r="87" spans="1:19" x14ac:dyDescent="0.2">
      <c r="B87" s="9" t="s">
        <v>132</v>
      </c>
      <c r="C87" s="9">
        <f>F81/2</f>
        <v>2735</v>
      </c>
    </row>
    <row r="88" spans="1:19" x14ac:dyDescent="0.2">
      <c r="B88" s="9" t="s">
        <v>133</v>
      </c>
      <c r="C88" s="9">
        <f>G81</f>
        <v>1280</v>
      </c>
    </row>
    <row r="89" spans="1:19" x14ac:dyDescent="0.2">
      <c r="B89" s="9" t="s">
        <v>6</v>
      </c>
      <c r="C89" s="9">
        <f>J81/2</f>
        <v>450</v>
      </c>
    </row>
    <row r="90" spans="1:19" x14ac:dyDescent="0.2">
      <c r="B90" s="9" t="s">
        <v>134</v>
      </c>
      <c r="C90" s="9">
        <f>K81</f>
        <v>550</v>
      </c>
    </row>
    <row r="91" spans="1:19" x14ac:dyDescent="0.2">
      <c r="B91" s="9" t="s">
        <v>135</v>
      </c>
      <c r="C91" s="9">
        <f>Q81</f>
        <v>0</v>
      </c>
    </row>
    <row r="92" spans="1:19" x14ac:dyDescent="0.2">
      <c r="B92" s="9" t="s">
        <v>3</v>
      </c>
      <c r="C92" s="9">
        <f>SUM(C86:C91)</f>
        <v>89503</v>
      </c>
    </row>
    <row r="94" spans="1:19" x14ac:dyDescent="0.2">
      <c r="B94" s="6" t="s">
        <v>136</v>
      </c>
    </row>
    <row r="95" spans="1:19" x14ac:dyDescent="0.2">
      <c r="B95" s="9" t="s">
        <v>132</v>
      </c>
      <c r="C95" s="9">
        <f>F81/2</f>
        <v>2735</v>
      </c>
    </row>
    <row r="96" spans="1:19" x14ac:dyDescent="0.2">
      <c r="B96" s="9" t="s">
        <v>137</v>
      </c>
      <c r="C96" s="9">
        <v>0</v>
      </c>
    </row>
    <row r="97" spans="2:3" x14ac:dyDescent="0.2">
      <c r="B97" s="9" t="s">
        <v>6</v>
      </c>
      <c r="C97" s="9">
        <f>J81/2</f>
        <v>450</v>
      </c>
    </row>
    <row r="98" spans="2:3" x14ac:dyDescent="0.2">
      <c r="B98" s="9" t="s">
        <v>138</v>
      </c>
      <c r="C98" s="9">
        <f>L81</f>
        <v>500</v>
      </c>
    </row>
    <row r="99" spans="2:3" x14ac:dyDescent="0.2">
      <c r="B99" s="9" t="s">
        <v>139</v>
      </c>
      <c r="C99" s="9">
        <f>H81</f>
        <v>24850</v>
      </c>
    </row>
    <row r="100" spans="2:3" x14ac:dyDescent="0.2">
      <c r="B100" s="9" t="s">
        <v>43</v>
      </c>
      <c r="C100" s="9">
        <f>M81</f>
        <v>4000</v>
      </c>
    </row>
    <row r="101" spans="2:3" x14ac:dyDescent="0.2">
      <c r="B101" s="9" t="s">
        <v>317</v>
      </c>
      <c r="C101" s="9">
        <f>R81</f>
        <v>800</v>
      </c>
    </row>
    <row r="102" spans="2:3" x14ac:dyDescent="0.2">
      <c r="B102" s="9" t="s">
        <v>141</v>
      </c>
      <c r="C102" s="9">
        <f>I81</f>
        <v>15572</v>
      </c>
    </row>
    <row r="103" spans="2:3" x14ac:dyDescent="0.2">
      <c r="B103" s="9" t="s">
        <v>311</v>
      </c>
      <c r="C103" s="9">
        <v>0</v>
      </c>
    </row>
    <row r="104" spans="2:3" x14ac:dyDescent="0.2">
      <c r="B104" s="9" t="s">
        <v>3</v>
      </c>
      <c r="C104" s="9">
        <f>SUM(C95:C103)</f>
        <v>48907</v>
      </c>
    </row>
  </sheetData>
  <pageMargins left="0.7" right="0.7" top="0.75" bottom="0.75" header="0.511811023622047" footer="0.51181102362204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L192"/>
  <sheetViews>
    <sheetView workbookViewId="0">
      <pane ySplit="2" topLeftCell="A132" activePane="bottomLeft" state="frozen"/>
      <selection activeCell="A4" sqref="A4"/>
      <selection pane="bottomLeft" activeCell="K149" sqref="K149"/>
    </sheetView>
  </sheetViews>
  <sheetFormatPr baseColWidth="10" defaultColWidth="4.6640625" defaultRowHeight="15" customHeight="1" x14ac:dyDescent="0.2"/>
  <cols>
    <col min="1" max="1" width="4.6640625" style="85" bestFit="1" customWidth="1"/>
    <col min="2" max="2" width="47.33203125" style="85" bestFit="1" customWidth="1"/>
    <col min="3" max="3" width="14" style="85" bestFit="1" customWidth="1"/>
    <col min="4" max="4" width="13.6640625" style="113" bestFit="1" customWidth="1"/>
    <col min="5" max="5" width="15.33203125" style="113" customWidth="1"/>
    <col min="6" max="6" width="11.6640625" style="113" customWidth="1"/>
    <col min="7" max="7" width="16" style="113" customWidth="1"/>
    <col min="8" max="8" width="15.6640625" style="113" bestFit="1" customWidth="1"/>
    <col min="9" max="9" width="10.5" style="113" customWidth="1"/>
    <col min="10" max="10" width="8.5" style="113" bestFit="1" customWidth="1"/>
    <col min="11" max="11" width="19" style="113" customWidth="1"/>
    <col min="12" max="12" width="10.33203125" style="85" customWidth="1"/>
    <col min="13" max="13" width="5.6640625" style="85" bestFit="1" customWidth="1"/>
    <col min="14" max="14" width="17.1640625" style="85" customWidth="1"/>
    <col min="15" max="16384" width="4.6640625" style="85"/>
  </cols>
  <sheetData>
    <row r="2" spans="1:12" s="91" customFormat="1" ht="46.5" customHeight="1" x14ac:dyDescent="0.2">
      <c r="A2" s="90" t="s">
        <v>392</v>
      </c>
      <c r="B2" s="90" t="s">
        <v>393</v>
      </c>
      <c r="C2" s="90" t="s">
        <v>394</v>
      </c>
      <c r="D2" s="105" t="s">
        <v>3</v>
      </c>
      <c r="E2" s="105" t="s">
        <v>4</v>
      </c>
      <c r="F2" s="105" t="s">
        <v>395</v>
      </c>
      <c r="G2" s="105" t="s">
        <v>396</v>
      </c>
      <c r="H2" s="105" t="s">
        <v>397</v>
      </c>
      <c r="I2" s="47" t="s">
        <v>675</v>
      </c>
      <c r="J2" s="105" t="s">
        <v>398</v>
      </c>
      <c r="K2" s="105" t="s">
        <v>16</v>
      </c>
    </row>
    <row r="3" spans="1:12" ht="17" customHeight="1" x14ac:dyDescent="0.2">
      <c r="A3" s="84">
        <v>1</v>
      </c>
      <c r="B3" s="84" t="s">
        <v>399</v>
      </c>
      <c r="C3" s="61">
        <v>84169</v>
      </c>
      <c r="D3" s="61">
        <v>200</v>
      </c>
      <c r="E3" s="61"/>
      <c r="F3" s="61"/>
      <c r="G3" s="61"/>
      <c r="H3" s="61">
        <v>200</v>
      </c>
      <c r="I3" s="61"/>
      <c r="J3" s="61"/>
      <c r="K3" s="130"/>
      <c r="L3" s="120">
        <f t="shared" ref="L3:L34" si="0">SUM(E3:K3)-D3</f>
        <v>0</v>
      </c>
    </row>
    <row r="4" spans="1:12" ht="16" x14ac:dyDescent="0.2">
      <c r="A4" s="84">
        <v>2</v>
      </c>
      <c r="B4" s="41" t="s">
        <v>400</v>
      </c>
      <c r="C4" s="61">
        <v>84170</v>
      </c>
      <c r="D4" s="61">
        <v>500</v>
      </c>
      <c r="E4" s="61"/>
      <c r="F4" s="61"/>
      <c r="G4" s="61"/>
      <c r="H4" s="61">
        <v>500</v>
      </c>
      <c r="I4" s="61"/>
      <c r="J4" s="61"/>
      <c r="K4" s="130"/>
      <c r="L4" s="120">
        <f t="shared" si="0"/>
        <v>0</v>
      </c>
    </row>
    <row r="5" spans="1:12" ht="16" x14ac:dyDescent="0.2">
      <c r="A5" s="84">
        <v>3</v>
      </c>
      <c r="B5" s="41" t="s">
        <v>401</v>
      </c>
      <c r="C5" s="61">
        <v>84171</v>
      </c>
      <c r="D5" s="61">
        <v>100</v>
      </c>
      <c r="E5" s="61">
        <v>100</v>
      </c>
      <c r="F5" s="61"/>
      <c r="G5" s="61"/>
      <c r="H5" s="61"/>
      <c r="I5" s="61"/>
      <c r="J5" s="61"/>
      <c r="K5" s="130"/>
      <c r="L5" s="120">
        <f t="shared" si="0"/>
        <v>0</v>
      </c>
    </row>
    <row r="6" spans="1:12" ht="16" x14ac:dyDescent="0.2">
      <c r="A6" s="84">
        <v>4</v>
      </c>
      <c r="B6" s="41" t="s">
        <v>402</v>
      </c>
      <c r="C6" s="61">
        <v>84172</v>
      </c>
      <c r="D6" s="61">
        <v>100</v>
      </c>
      <c r="E6" s="61">
        <v>100</v>
      </c>
      <c r="F6" s="61"/>
      <c r="G6" s="61"/>
      <c r="H6" s="61"/>
      <c r="I6" s="61"/>
      <c r="J6" s="61"/>
      <c r="K6" s="130"/>
      <c r="L6" s="120">
        <f t="shared" si="0"/>
        <v>0</v>
      </c>
    </row>
    <row r="7" spans="1:12" ht="16" x14ac:dyDescent="0.2">
      <c r="A7" s="84">
        <v>5</v>
      </c>
      <c r="B7" s="41" t="s">
        <v>403</v>
      </c>
      <c r="C7" s="61">
        <v>84173</v>
      </c>
      <c r="D7" s="61">
        <v>100</v>
      </c>
      <c r="E7" s="61"/>
      <c r="F7" s="61"/>
      <c r="G7" s="61"/>
      <c r="H7" s="61">
        <v>100</v>
      </c>
      <c r="I7" s="61"/>
      <c r="J7" s="61"/>
      <c r="K7" s="130"/>
      <c r="L7" s="120">
        <f t="shared" si="0"/>
        <v>0</v>
      </c>
    </row>
    <row r="8" spans="1:12" ht="16" x14ac:dyDescent="0.2">
      <c r="A8" s="84">
        <v>6</v>
      </c>
      <c r="B8" s="41" t="s">
        <v>404</v>
      </c>
      <c r="C8" s="61">
        <v>84174</v>
      </c>
      <c r="D8" s="61">
        <v>50</v>
      </c>
      <c r="E8" s="61"/>
      <c r="F8" s="62">
        <v>25</v>
      </c>
      <c r="G8" s="62">
        <v>25</v>
      </c>
      <c r="H8" s="62"/>
      <c r="I8" s="62"/>
      <c r="J8" s="61"/>
      <c r="K8" s="130"/>
      <c r="L8" s="120">
        <f t="shared" si="0"/>
        <v>0</v>
      </c>
    </row>
    <row r="9" spans="1:12" ht="16" x14ac:dyDescent="0.2">
      <c r="A9" s="84">
        <v>7</v>
      </c>
      <c r="B9" s="41" t="s">
        <v>405</v>
      </c>
      <c r="C9" s="61">
        <v>84175</v>
      </c>
      <c r="D9" s="61">
        <v>500</v>
      </c>
      <c r="E9" s="61">
        <v>500</v>
      </c>
      <c r="F9" s="61"/>
      <c r="G9" s="61"/>
      <c r="H9" s="61"/>
      <c r="I9" s="61"/>
      <c r="J9" s="61"/>
      <c r="K9" s="130"/>
      <c r="L9" s="120">
        <f t="shared" si="0"/>
        <v>0</v>
      </c>
    </row>
    <row r="10" spans="1:12" ht="16" x14ac:dyDescent="0.2">
      <c r="A10" s="84">
        <v>8</v>
      </c>
      <c r="B10" s="41" t="s">
        <v>406</v>
      </c>
      <c r="C10" s="61">
        <v>84176</v>
      </c>
      <c r="D10" s="61">
        <v>200</v>
      </c>
      <c r="E10" s="61"/>
      <c r="F10" s="61"/>
      <c r="G10" s="61"/>
      <c r="H10" s="61">
        <v>200</v>
      </c>
      <c r="I10" s="61"/>
      <c r="J10" s="61"/>
      <c r="K10" s="130"/>
      <c r="L10" s="120">
        <f t="shared" si="0"/>
        <v>0</v>
      </c>
    </row>
    <row r="11" spans="1:12" ht="16" x14ac:dyDescent="0.2">
      <c r="A11" s="84">
        <v>9</v>
      </c>
      <c r="B11" s="41" t="s">
        <v>407</v>
      </c>
      <c r="C11" s="61">
        <v>84177</v>
      </c>
      <c r="D11" s="61">
        <v>200</v>
      </c>
      <c r="E11" s="61">
        <v>200</v>
      </c>
      <c r="F11" s="61"/>
      <c r="G11" s="61"/>
      <c r="H11" s="61"/>
      <c r="I11" s="61"/>
      <c r="J11" s="61"/>
      <c r="K11" s="130"/>
      <c r="L11" s="120">
        <f t="shared" si="0"/>
        <v>0</v>
      </c>
    </row>
    <row r="12" spans="1:12" ht="16" x14ac:dyDescent="0.2">
      <c r="A12" s="84">
        <v>10</v>
      </c>
      <c r="B12" s="41" t="s">
        <v>408</v>
      </c>
      <c r="C12" s="61">
        <v>84178</v>
      </c>
      <c r="D12" s="61">
        <v>200</v>
      </c>
      <c r="E12" s="61"/>
      <c r="F12" s="61"/>
      <c r="G12" s="61"/>
      <c r="H12" s="61">
        <v>200</v>
      </c>
      <c r="I12" s="61"/>
      <c r="J12" s="61"/>
      <c r="K12" s="130"/>
      <c r="L12" s="120">
        <f t="shared" si="0"/>
        <v>0</v>
      </c>
    </row>
    <row r="13" spans="1:12" ht="16" x14ac:dyDescent="0.2">
      <c r="A13" s="84">
        <v>11</v>
      </c>
      <c r="B13" s="41" t="s">
        <v>409</v>
      </c>
      <c r="C13" s="61">
        <v>84179</v>
      </c>
      <c r="D13" s="61">
        <v>200</v>
      </c>
      <c r="E13" s="61"/>
      <c r="F13" s="61">
        <v>200</v>
      </c>
      <c r="G13" s="61"/>
      <c r="H13" s="61"/>
      <c r="I13" s="61"/>
      <c r="J13" s="61"/>
      <c r="K13" s="130"/>
      <c r="L13" s="120">
        <f t="shared" si="0"/>
        <v>0</v>
      </c>
    </row>
    <row r="14" spans="1:12" ht="16" x14ac:dyDescent="0.2">
      <c r="A14" s="84">
        <v>12</v>
      </c>
      <c r="B14" s="41" t="s">
        <v>410</v>
      </c>
      <c r="C14" s="61">
        <v>84180</v>
      </c>
      <c r="D14" s="61">
        <v>200</v>
      </c>
      <c r="E14" s="61">
        <v>100</v>
      </c>
      <c r="F14" s="61">
        <v>50</v>
      </c>
      <c r="G14" s="61">
        <v>50</v>
      </c>
      <c r="H14" s="61"/>
      <c r="I14" s="61"/>
      <c r="J14" s="61"/>
      <c r="K14" s="130"/>
      <c r="L14" s="120">
        <f t="shared" si="0"/>
        <v>0</v>
      </c>
    </row>
    <row r="15" spans="1:12" ht="16" x14ac:dyDescent="0.2">
      <c r="A15" s="84">
        <v>13</v>
      </c>
      <c r="B15" s="41" t="s">
        <v>411</v>
      </c>
      <c r="C15" s="61">
        <v>84181</v>
      </c>
      <c r="D15" s="61">
        <v>50</v>
      </c>
      <c r="E15" s="61">
        <v>50</v>
      </c>
      <c r="F15" s="61"/>
      <c r="G15" s="61"/>
      <c r="H15" s="61"/>
      <c r="I15" s="61"/>
      <c r="J15" s="61"/>
      <c r="K15" s="130"/>
      <c r="L15" s="120">
        <f t="shared" si="0"/>
        <v>0</v>
      </c>
    </row>
    <row r="16" spans="1:12" ht="16" x14ac:dyDescent="0.2">
      <c r="A16" s="84">
        <v>14</v>
      </c>
      <c r="B16" s="41" t="s">
        <v>412</v>
      </c>
      <c r="C16" s="61">
        <v>84182</v>
      </c>
      <c r="D16" s="61">
        <v>50</v>
      </c>
      <c r="E16" s="61"/>
      <c r="F16" s="61">
        <v>50</v>
      </c>
      <c r="G16" s="61"/>
      <c r="H16" s="61"/>
      <c r="I16" s="61"/>
      <c r="J16" s="61"/>
      <c r="K16" s="130"/>
      <c r="L16" s="120">
        <f t="shared" si="0"/>
        <v>0</v>
      </c>
    </row>
    <row r="17" spans="1:12" ht="16" x14ac:dyDescent="0.2">
      <c r="A17" s="84">
        <v>15</v>
      </c>
      <c r="B17" s="41" t="s">
        <v>413</v>
      </c>
      <c r="C17" s="61">
        <v>84183</v>
      </c>
      <c r="D17" s="61">
        <v>50</v>
      </c>
      <c r="E17" s="61"/>
      <c r="F17" s="61"/>
      <c r="G17" s="61"/>
      <c r="H17" s="61"/>
      <c r="I17" s="61">
        <v>50</v>
      </c>
      <c r="J17" s="61"/>
      <c r="K17" s="130"/>
      <c r="L17" s="120">
        <f t="shared" si="0"/>
        <v>0</v>
      </c>
    </row>
    <row r="18" spans="1:12" ht="16" x14ac:dyDescent="0.2">
      <c r="A18" s="84">
        <v>16</v>
      </c>
      <c r="B18" s="41" t="s">
        <v>414</v>
      </c>
      <c r="C18" s="61">
        <v>84184</v>
      </c>
      <c r="D18" s="61">
        <v>4000</v>
      </c>
      <c r="E18" s="61">
        <v>4000</v>
      </c>
      <c r="F18" s="61"/>
      <c r="G18" s="61"/>
      <c r="H18" s="61"/>
      <c r="I18" s="61"/>
      <c r="J18" s="61"/>
      <c r="K18" s="130"/>
      <c r="L18" s="120">
        <f t="shared" si="0"/>
        <v>0</v>
      </c>
    </row>
    <row r="19" spans="1:12" ht="16" x14ac:dyDescent="0.2">
      <c r="A19" s="84">
        <v>17</v>
      </c>
      <c r="B19" s="41" t="s">
        <v>415</v>
      </c>
      <c r="C19" s="61">
        <v>84185</v>
      </c>
      <c r="D19" s="61">
        <v>300</v>
      </c>
      <c r="E19" s="61">
        <v>100</v>
      </c>
      <c r="F19" s="61"/>
      <c r="G19" s="61"/>
      <c r="H19" s="61">
        <v>200</v>
      </c>
      <c r="I19" s="61"/>
      <c r="J19" s="61"/>
      <c r="K19" s="130"/>
      <c r="L19" s="120">
        <f t="shared" si="0"/>
        <v>0</v>
      </c>
    </row>
    <row r="20" spans="1:12" ht="16" x14ac:dyDescent="0.2">
      <c r="A20" s="84">
        <v>18</v>
      </c>
      <c r="B20" s="41" t="s">
        <v>416</v>
      </c>
      <c r="C20" s="61">
        <v>84186</v>
      </c>
      <c r="D20" s="61">
        <v>100</v>
      </c>
      <c r="E20" s="61">
        <v>100</v>
      </c>
      <c r="F20" s="61"/>
      <c r="G20" s="61"/>
      <c r="H20" s="61"/>
      <c r="I20" s="61"/>
      <c r="J20" s="61"/>
      <c r="K20" s="130"/>
      <c r="L20" s="120">
        <f t="shared" si="0"/>
        <v>0</v>
      </c>
    </row>
    <row r="21" spans="1:12" ht="16" x14ac:dyDescent="0.2">
      <c r="A21" s="84">
        <v>19</v>
      </c>
      <c r="B21" s="41" t="s">
        <v>417</v>
      </c>
      <c r="C21" s="61">
        <v>84187</v>
      </c>
      <c r="D21" s="61">
        <v>100</v>
      </c>
      <c r="E21" s="61">
        <v>50</v>
      </c>
      <c r="F21" s="61"/>
      <c r="G21" s="61"/>
      <c r="H21" s="61">
        <v>50</v>
      </c>
      <c r="I21" s="61"/>
      <c r="J21" s="61"/>
      <c r="K21" s="130"/>
      <c r="L21" s="120">
        <f t="shared" si="0"/>
        <v>0</v>
      </c>
    </row>
    <row r="22" spans="1:12" ht="16" x14ac:dyDescent="0.2">
      <c r="A22" s="84">
        <v>20</v>
      </c>
      <c r="B22" s="41" t="s">
        <v>418</v>
      </c>
      <c r="C22" s="61">
        <v>84188</v>
      </c>
      <c r="D22" s="61">
        <v>200</v>
      </c>
      <c r="E22" s="61"/>
      <c r="F22" s="61">
        <v>100</v>
      </c>
      <c r="G22" s="61"/>
      <c r="H22" s="61"/>
      <c r="I22" s="61">
        <v>100</v>
      </c>
      <c r="J22" s="61"/>
      <c r="K22" s="130"/>
      <c r="L22" s="120">
        <f t="shared" si="0"/>
        <v>0</v>
      </c>
    </row>
    <row r="23" spans="1:12" ht="16" x14ac:dyDescent="0.2">
      <c r="A23" s="84">
        <v>21</v>
      </c>
      <c r="B23" s="84" t="s">
        <v>419</v>
      </c>
      <c r="C23" s="61">
        <v>84189</v>
      </c>
      <c r="D23" s="131">
        <v>100</v>
      </c>
      <c r="E23" s="61"/>
      <c r="F23" s="131">
        <v>100</v>
      </c>
      <c r="G23" s="131"/>
      <c r="H23" s="131"/>
      <c r="I23" s="131"/>
      <c r="J23" s="131"/>
      <c r="K23" s="131"/>
      <c r="L23" s="120">
        <f t="shared" si="0"/>
        <v>0</v>
      </c>
    </row>
    <row r="24" spans="1:12" ht="16" x14ac:dyDescent="0.2">
      <c r="A24" s="84">
        <v>22</v>
      </c>
      <c r="B24" s="84" t="s">
        <v>420</v>
      </c>
      <c r="C24" s="61">
        <v>84190</v>
      </c>
      <c r="D24" s="106">
        <v>1000</v>
      </c>
      <c r="E24" s="61"/>
      <c r="F24" s="106"/>
      <c r="G24" s="106"/>
      <c r="H24" s="106">
        <v>1000</v>
      </c>
      <c r="I24" s="106"/>
      <c r="J24" s="106"/>
      <c r="K24" s="106"/>
      <c r="L24" s="120">
        <f t="shared" si="0"/>
        <v>0</v>
      </c>
    </row>
    <row r="25" spans="1:12" ht="16" x14ac:dyDescent="0.2">
      <c r="A25" s="84">
        <v>23</v>
      </c>
      <c r="B25" s="84" t="s">
        <v>421</v>
      </c>
      <c r="C25" s="61">
        <v>84191</v>
      </c>
      <c r="D25" s="131">
        <v>50</v>
      </c>
      <c r="E25" s="61"/>
      <c r="F25" s="131"/>
      <c r="G25" s="131"/>
      <c r="H25" s="131">
        <v>50</v>
      </c>
      <c r="I25" s="131"/>
      <c r="J25" s="131"/>
      <c r="K25" s="131"/>
      <c r="L25" s="120">
        <f t="shared" si="0"/>
        <v>0</v>
      </c>
    </row>
    <row r="26" spans="1:12" ht="16" x14ac:dyDescent="0.2">
      <c r="A26" s="84">
        <v>24</v>
      </c>
      <c r="B26" s="84" t="s">
        <v>422</v>
      </c>
      <c r="C26" s="61">
        <v>84192</v>
      </c>
      <c r="D26" s="131">
        <v>500</v>
      </c>
      <c r="E26" s="61"/>
      <c r="F26" s="131"/>
      <c r="G26" s="131"/>
      <c r="H26" s="131">
        <v>500</v>
      </c>
      <c r="I26" s="131"/>
      <c r="J26" s="131"/>
      <c r="K26" s="131"/>
      <c r="L26" s="120">
        <f t="shared" si="0"/>
        <v>0</v>
      </c>
    </row>
    <row r="27" spans="1:12" ht="16" x14ac:dyDescent="0.2">
      <c r="A27" s="84">
        <v>25</v>
      </c>
      <c r="B27" s="84" t="s">
        <v>423</v>
      </c>
      <c r="C27" s="61">
        <v>84193</v>
      </c>
      <c r="D27" s="131">
        <v>1000</v>
      </c>
      <c r="E27" s="61"/>
      <c r="F27" s="131"/>
      <c r="G27" s="131"/>
      <c r="H27" s="131">
        <v>1000</v>
      </c>
      <c r="I27" s="131"/>
      <c r="J27" s="131"/>
      <c r="K27" s="131"/>
      <c r="L27" s="120">
        <f t="shared" si="0"/>
        <v>0</v>
      </c>
    </row>
    <row r="28" spans="1:12" ht="16" x14ac:dyDescent="0.2">
      <c r="A28" s="84">
        <v>26</v>
      </c>
      <c r="B28" s="84" t="s">
        <v>424</v>
      </c>
      <c r="C28" s="61">
        <v>84194</v>
      </c>
      <c r="D28" s="131">
        <v>150</v>
      </c>
      <c r="E28" s="61">
        <v>150</v>
      </c>
      <c r="F28" s="131"/>
      <c r="G28" s="131"/>
      <c r="H28" s="131"/>
      <c r="I28" s="131"/>
      <c r="J28" s="131"/>
      <c r="K28" s="131"/>
      <c r="L28" s="120">
        <f t="shared" si="0"/>
        <v>0</v>
      </c>
    </row>
    <row r="29" spans="1:12" ht="16" x14ac:dyDescent="0.2">
      <c r="A29" s="84">
        <v>27</v>
      </c>
      <c r="B29" s="84" t="s">
        <v>425</v>
      </c>
      <c r="C29" s="61">
        <v>84195</v>
      </c>
      <c r="D29" s="131">
        <v>500</v>
      </c>
      <c r="E29" s="61"/>
      <c r="F29" s="131"/>
      <c r="G29" s="131"/>
      <c r="H29" s="131"/>
      <c r="I29" s="131">
        <v>500</v>
      </c>
      <c r="J29" s="131"/>
      <c r="K29" s="131"/>
      <c r="L29" s="120">
        <f t="shared" si="0"/>
        <v>0</v>
      </c>
    </row>
    <row r="30" spans="1:12" ht="16" x14ac:dyDescent="0.2">
      <c r="A30" s="84">
        <v>28</v>
      </c>
      <c r="B30" s="84" t="s">
        <v>426</v>
      </c>
      <c r="C30" s="61">
        <v>84196</v>
      </c>
      <c r="D30" s="131">
        <v>1000</v>
      </c>
      <c r="E30" s="61"/>
      <c r="F30" s="131">
        <v>1000</v>
      </c>
      <c r="G30" s="131"/>
      <c r="H30" s="131"/>
      <c r="I30" s="131"/>
      <c r="J30" s="131"/>
      <c r="K30" s="131"/>
      <c r="L30" s="120">
        <f t="shared" si="0"/>
        <v>0</v>
      </c>
    </row>
    <row r="31" spans="1:12" ht="16" x14ac:dyDescent="0.2">
      <c r="A31" s="84">
        <v>29</v>
      </c>
      <c r="B31" s="84" t="s">
        <v>427</v>
      </c>
      <c r="C31" s="61">
        <v>84197</v>
      </c>
      <c r="D31" s="131">
        <v>2000</v>
      </c>
      <c r="E31" s="61"/>
      <c r="F31" s="131"/>
      <c r="G31" s="131"/>
      <c r="H31" s="131">
        <v>2000</v>
      </c>
      <c r="I31" s="131"/>
      <c r="J31" s="131"/>
      <c r="K31" s="131"/>
      <c r="L31" s="120">
        <f t="shared" si="0"/>
        <v>0</v>
      </c>
    </row>
    <row r="32" spans="1:12" ht="16" x14ac:dyDescent="0.2">
      <c r="A32" s="84">
        <v>30</v>
      </c>
      <c r="B32" s="84" t="s">
        <v>428</v>
      </c>
      <c r="C32" s="61">
        <v>84198</v>
      </c>
      <c r="D32" s="131">
        <v>400</v>
      </c>
      <c r="E32" s="61"/>
      <c r="F32" s="131"/>
      <c r="G32" s="131">
        <v>200</v>
      </c>
      <c r="H32" s="131"/>
      <c r="I32" s="131">
        <v>200</v>
      </c>
      <c r="J32" s="131"/>
      <c r="K32" s="131"/>
      <c r="L32" s="120">
        <f t="shared" si="0"/>
        <v>0</v>
      </c>
    </row>
    <row r="33" spans="1:12" ht="16" x14ac:dyDescent="0.2">
      <c r="A33" s="84">
        <v>31</v>
      </c>
      <c r="B33" s="84" t="s">
        <v>429</v>
      </c>
      <c r="C33" s="61">
        <v>84199</v>
      </c>
      <c r="D33" s="131">
        <v>50</v>
      </c>
      <c r="E33" s="61">
        <v>15</v>
      </c>
      <c r="F33" s="131">
        <v>15</v>
      </c>
      <c r="G33" s="131">
        <v>10</v>
      </c>
      <c r="H33" s="131">
        <v>10</v>
      </c>
      <c r="I33" s="131"/>
      <c r="J33" s="131"/>
      <c r="K33" s="131"/>
      <c r="L33" s="120">
        <f t="shared" si="0"/>
        <v>0</v>
      </c>
    </row>
    <row r="34" spans="1:12" ht="16" x14ac:dyDescent="0.2">
      <c r="A34" s="84">
        <v>32</v>
      </c>
      <c r="B34" s="84" t="s">
        <v>430</v>
      </c>
      <c r="C34" s="61">
        <v>84200</v>
      </c>
      <c r="D34" s="131">
        <v>7026</v>
      </c>
      <c r="E34" s="61">
        <v>7026</v>
      </c>
      <c r="F34" s="131"/>
      <c r="G34" s="131"/>
      <c r="H34" s="131"/>
      <c r="I34" s="131"/>
      <c r="J34" s="131"/>
      <c r="K34" s="131"/>
      <c r="L34" s="120">
        <f t="shared" si="0"/>
        <v>0</v>
      </c>
    </row>
    <row r="35" spans="1:12" ht="16" x14ac:dyDescent="0.2">
      <c r="A35" s="84">
        <v>33</v>
      </c>
      <c r="B35" s="84" t="s">
        <v>431</v>
      </c>
      <c r="C35" s="61">
        <v>262201</v>
      </c>
      <c r="D35" s="131">
        <v>2265</v>
      </c>
      <c r="E35" s="61">
        <v>2265</v>
      </c>
      <c r="F35" s="131"/>
      <c r="G35" s="131"/>
      <c r="H35" s="131"/>
      <c r="I35" s="131"/>
      <c r="J35" s="131"/>
      <c r="K35" s="131"/>
      <c r="L35" s="120">
        <f t="shared" ref="L35:L66" si="1">SUM(E35:K35)-D35</f>
        <v>0</v>
      </c>
    </row>
    <row r="36" spans="1:12" ht="16" x14ac:dyDescent="0.2">
      <c r="A36" s="84">
        <v>34</v>
      </c>
      <c r="B36" s="84" t="s">
        <v>432</v>
      </c>
      <c r="C36" s="61">
        <v>262202</v>
      </c>
      <c r="D36" s="131">
        <v>100</v>
      </c>
      <c r="E36" s="61">
        <v>100</v>
      </c>
      <c r="F36" s="131"/>
      <c r="G36" s="131"/>
      <c r="H36" s="131"/>
      <c r="I36" s="131"/>
      <c r="J36" s="131"/>
      <c r="K36" s="131"/>
      <c r="L36" s="120">
        <f t="shared" si="1"/>
        <v>0</v>
      </c>
    </row>
    <row r="37" spans="1:12" ht="17" customHeight="1" x14ac:dyDescent="0.2">
      <c r="A37" s="84">
        <v>35</v>
      </c>
      <c r="B37" s="84" t="s">
        <v>433</v>
      </c>
      <c r="C37" s="61">
        <v>262203</v>
      </c>
      <c r="D37" s="131">
        <v>100</v>
      </c>
      <c r="E37" s="61"/>
      <c r="F37" s="131"/>
      <c r="G37" s="131"/>
      <c r="H37" s="131"/>
      <c r="I37" s="131">
        <v>100</v>
      </c>
      <c r="J37" s="131"/>
      <c r="K37" s="131"/>
      <c r="L37" s="120">
        <f t="shared" si="1"/>
        <v>0</v>
      </c>
    </row>
    <row r="38" spans="1:12" ht="17" customHeight="1" x14ac:dyDescent="0.2">
      <c r="A38" s="84">
        <v>36</v>
      </c>
      <c r="B38" s="84" t="s">
        <v>434</v>
      </c>
      <c r="C38" s="61">
        <v>262204</v>
      </c>
      <c r="D38" s="131">
        <v>1000</v>
      </c>
      <c r="E38" s="61"/>
      <c r="F38" s="131"/>
      <c r="G38" s="131"/>
      <c r="H38" s="131"/>
      <c r="I38" s="131">
        <v>1000</v>
      </c>
      <c r="J38" s="131"/>
      <c r="K38" s="131"/>
      <c r="L38" s="120">
        <f t="shared" si="1"/>
        <v>0</v>
      </c>
    </row>
    <row r="39" spans="1:12" ht="16" x14ac:dyDescent="0.2">
      <c r="A39" s="84">
        <v>37</v>
      </c>
      <c r="B39" s="84" t="s">
        <v>435</v>
      </c>
      <c r="C39" s="61">
        <v>262205</v>
      </c>
      <c r="D39" s="131">
        <v>100</v>
      </c>
      <c r="E39" s="61"/>
      <c r="F39" s="131"/>
      <c r="G39" s="131"/>
      <c r="H39" s="131"/>
      <c r="I39" s="131">
        <v>100</v>
      </c>
      <c r="J39" s="131"/>
      <c r="K39" s="131"/>
      <c r="L39" s="120">
        <f t="shared" si="1"/>
        <v>0</v>
      </c>
    </row>
    <row r="40" spans="1:12" ht="16" x14ac:dyDescent="0.2">
      <c r="A40" s="84">
        <v>38</v>
      </c>
      <c r="B40" s="84" t="s">
        <v>436</v>
      </c>
      <c r="C40" s="61">
        <v>262206</v>
      </c>
      <c r="D40" s="131">
        <v>5000</v>
      </c>
      <c r="E40" s="61">
        <v>5000</v>
      </c>
      <c r="F40" s="131"/>
      <c r="G40" s="131"/>
      <c r="H40" s="131"/>
      <c r="I40" s="131"/>
      <c r="J40" s="131"/>
      <c r="K40" s="131"/>
      <c r="L40" s="120">
        <f t="shared" si="1"/>
        <v>0</v>
      </c>
    </row>
    <row r="41" spans="1:12" ht="17" customHeight="1" x14ac:dyDescent="0.2">
      <c r="A41" s="84">
        <v>39</v>
      </c>
      <c r="B41" s="84" t="s">
        <v>437</v>
      </c>
      <c r="C41" s="61">
        <v>262207</v>
      </c>
      <c r="D41" s="131">
        <v>500</v>
      </c>
      <c r="E41" s="61">
        <v>500</v>
      </c>
      <c r="F41" s="131"/>
      <c r="G41" s="131"/>
      <c r="H41" s="131"/>
      <c r="I41" s="131"/>
      <c r="J41" s="131"/>
      <c r="K41" s="131"/>
      <c r="L41" s="120">
        <f t="shared" si="1"/>
        <v>0</v>
      </c>
    </row>
    <row r="42" spans="1:12" ht="16" x14ac:dyDescent="0.2">
      <c r="A42" s="84">
        <v>40</v>
      </c>
      <c r="B42" s="85" t="s">
        <v>438</v>
      </c>
      <c r="C42" s="61">
        <v>262208</v>
      </c>
      <c r="D42" s="113">
        <v>50</v>
      </c>
      <c r="E42" s="61">
        <v>50</v>
      </c>
      <c r="G42" s="131"/>
      <c r="H42" s="131"/>
      <c r="I42" s="131"/>
      <c r="J42" s="131"/>
      <c r="K42" s="131"/>
      <c r="L42" s="120">
        <f t="shared" si="1"/>
        <v>0</v>
      </c>
    </row>
    <row r="43" spans="1:12" ht="16" x14ac:dyDescent="0.2">
      <c r="A43" s="84">
        <v>41</v>
      </c>
      <c r="B43" s="84" t="s">
        <v>439</v>
      </c>
      <c r="C43" s="61">
        <v>262209</v>
      </c>
      <c r="D43" s="131">
        <v>300</v>
      </c>
      <c r="E43" s="61"/>
      <c r="F43" s="131"/>
      <c r="G43" s="131"/>
      <c r="H43" s="131">
        <v>300</v>
      </c>
      <c r="J43" s="131"/>
      <c r="K43" s="131"/>
      <c r="L43" s="120">
        <f t="shared" si="1"/>
        <v>0</v>
      </c>
    </row>
    <row r="44" spans="1:12" ht="16" x14ac:dyDescent="0.2">
      <c r="A44" s="84">
        <v>42</v>
      </c>
      <c r="B44" s="84" t="s">
        <v>440</v>
      </c>
      <c r="C44" s="61">
        <v>262210</v>
      </c>
      <c r="D44" s="131">
        <v>100</v>
      </c>
      <c r="E44" s="61">
        <v>100</v>
      </c>
      <c r="F44" s="131"/>
      <c r="G44" s="131"/>
      <c r="H44" s="131"/>
      <c r="I44" s="131"/>
      <c r="J44" s="131"/>
      <c r="K44" s="131"/>
      <c r="L44" s="120">
        <f t="shared" si="1"/>
        <v>0</v>
      </c>
    </row>
    <row r="45" spans="1:12" ht="16" x14ac:dyDescent="0.2">
      <c r="A45" s="84">
        <v>43</v>
      </c>
      <c r="B45" s="84" t="s">
        <v>441</v>
      </c>
      <c r="C45" s="61">
        <v>262211</v>
      </c>
      <c r="D45" s="131">
        <v>100</v>
      </c>
      <c r="E45" s="61">
        <v>100</v>
      </c>
      <c r="F45" s="131"/>
      <c r="G45" s="131"/>
      <c r="H45" s="131"/>
      <c r="I45" s="131"/>
      <c r="J45" s="131"/>
      <c r="K45" s="131"/>
      <c r="L45" s="120">
        <f t="shared" si="1"/>
        <v>0</v>
      </c>
    </row>
    <row r="46" spans="1:12" ht="16" x14ac:dyDescent="0.2">
      <c r="A46" s="84">
        <v>44</v>
      </c>
      <c r="B46" s="84" t="s">
        <v>442</v>
      </c>
      <c r="C46" s="61">
        <v>262212</v>
      </c>
      <c r="D46" s="131">
        <v>100</v>
      </c>
      <c r="E46" s="61">
        <v>100</v>
      </c>
      <c r="F46" s="131"/>
      <c r="G46" s="131"/>
      <c r="H46" s="131"/>
      <c r="I46" s="131"/>
      <c r="J46" s="131"/>
      <c r="K46" s="131"/>
      <c r="L46" s="120">
        <f t="shared" si="1"/>
        <v>0</v>
      </c>
    </row>
    <row r="47" spans="1:12" ht="16" x14ac:dyDescent="0.2">
      <c r="A47" s="84">
        <v>45</v>
      </c>
      <c r="B47" s="84" t="s">
        <v>443</v>
      </c>
      <c r="C47" s="61">
        <v>262213</v>
      </c>
      <c r="D47" s="131">
        <v>100</v>
      </c>
      <c r="E47" s="61">
        <v>100</v>
      </c>
      <c r="F47" s="131"/>
      <c r="G47" s="131"/>
      <c r="H47" s="131"/>
      <c r="I47" s="131"/>
      <c r="J47" s="131"/>
      <c r="K47" s="131"/>
      <c r="L47" s="120">
        <f t="shared" si="1"/>
        <v>0</v>
      </c>
    </row>
    <row r="48" spans="1:12" ht="16" x14ac:dyDescent="0.2">
      <c r="A48" s="84">
        <v>46</v>
      </c>
      <c r="B48" s="84" t="s">
        <v>444</v>
      </c>
      <c r="C48" s="61">
        <v>262214</v>
      </c>
      <c r="D48" s="131">
        <v>1000</v>
      </c>
      <c r="E48" s="61"/>
      <c r="F48" s="131"/>
      <c r="G48" s="131"/>
      <c r="H48" s="131"/>
      <c r="I48" s="131"/>
      <c r="J48" s="131">
        <v>1000</v>
      </c>
      <c r="K48" s="131"/>
      <c r="L48" s="120">
        <f t="shared" si="1"/>
        <v>0</v>
      </c>
    </row>
    <row r="49" spans="1:12" ht="16" x14ac:dyDescent="0.2">
      <c r="A49" s="84">
        <v>47</v>
      </c>
      <c r="B49" s="84" t="s">
        <v>445</v>
      </c>
      <c r="C49" s="61">
        <v>262215</v>
      </c>
      <c r="D49" s="131">
        <v>100</v>
      </c>
      <c r="E49" s="61">
        <v>100</v>
      </c>
      <c r="F49" s="131"/>
      <c r="G49" s="131"/>
      <c r="H49" s="131"/>
      <c r="I49" s="131"/>
      <c r="J49" s="131"/>
      <c r="K49" s="131"/>
      <c r="L49" s="120">
        <f t="shared" si="1"/>
        <v>0</v>
      </c>
    </row>
    <row r="50" spans="1:12" ht="16" x14ac:dyDescent="0.2">
      <c r="A50" s="84">
        <v>48</v>
      </c>
      <c r="B50" s="84" t="s">
        <v>446</v>
      </c>
      <c r="C50" s="61">
        <v>262216</v>
      </c>
      <c r="D50" s="131">
        <v>200</v>
      </c>
      <c r="E50" s="61"/>
      <c r="F50" s="131">
        <v>100</v>
      </c>
      <c r="G50" s="131"/>
      <c r="H50" s="131"/>
      <c r="I50" s="131">
        <v>100</v>
      </c>
      <c r="J50" s="131"/>
      <c r="K50" s="131"/>
      <c r="L50" s="120">
        <f t="shared" si="1"/>
        <v>0</v>
      </c>
    </row>
    <row r="51" spans="1:12" ht="16" x14ac:dyDescent="0.2">
      <c r="A51" s="84">
        <v>49</v>
      </c>
      <c r="B51" s="84" t="s">
        <v>447</v>
      </c>
      <c r="C51" s="61">
        <v>262217</v>
      </c>
      <c r="D51" s="131">
        <v>100</v>
      </c>
      <c r="E51" s="61">
        <v>100</v>
      </c>
      <c r="F51" s="131"/>
      <c r="G51" s="131"/>
      <c r="H51" s="131"/>
      <c r="I51" s="131"/>
      <c r="J51" s="131"/>
      <c r="K51" s="131"/>
      <c r="L51" s="120">
        <f t="shared" si="1"/>
        <v>0</v>
      </c>
    </row>
    <row r="52" spans="1:12" ht="16" x14ac:dyDescent="0.2">
      <c r="A52" s="84">
        <v>50</v>
      </c>
      <c r="B52" s="84" t="s">
        <v>448</v>
      </c>
      <c r="C52" s="61">
        <v>262218</v>
      </c>
      <c r="D52" s="131">
        <v>100</v>
      </c>
      <c r="E52" s="61">
        <v>50</v>
      </c>
      <c r="F52" s="131"/>
      <c r="G52" s="131"/>
      <c r="H52" s="131"/>
      <c r="I52" s="131">
        <v>50</v>
      </c>
      <c r="J52" s="131"/>
      <c r="K52" s="131"/>
      <c r="L52" s="120">
        <f t="shared" si="1"/>
        <v>0</v>
      </c>
    </row>
    <row r="53" spans="1:12" ht="16" x14ac:dyDescent="0.2">
      <c r="A53" s="84">
        <v>51</v>
      </c>
      <c r="B53" s="84" t="s">
        <v>449</v>
      </c>
      <c r="C53" s="61">
        <v>262219</v>
      </c>
      <c r="D53" s="131">
        <v>50</v>
      </c>
      <c r="E53" s="61"/>
      <c r="F53" s="131">
        <v>50</v>
      </c>
      <c r="G53" s="131"/>
      <c r="H53" s="131"/>
      <c r="I53" s="131"/>
      <c r="J53" s="131"/>
      <c r="K53" s="131"/>
      <c r="L53" s="120">
        <f t="shared" si="1"/>
        <v>0</v>
      </c>
    </row>
    <row r="54" spans="1:12" ht="16" x14ac:dyDescent="0.2">
      <c r="A54" s="84">
        <v>52</v>
      </c>
      <c r="B54" s="84" t="s">
        <v>450</v>
      </c>
      <c r="C54" s="61">
        <v>262220</v>
      </c>
      <c r="D54" s="131">
        <v>1500</v>
      </c>
      <c r="E54" s="61"/>
      <c r="F54" s="131"/>
      <c r="G54" s="131"/>
      <c r="H54" s="131"/>
      <c r="I54" s="131"/>
      <c r="J54" s="131">
        <v>1500</v>
      </c>
      <c r="K54" s="131"/>
      <c r="L54" s="120">
        <f t="shared" si="1"/>
        <v>0</v>
      </c>
    </row>
    <row r="55" spans="1:12" ht="16" x14ac:dyDescent="0.2">
      <c r="A55" s="84">
        <v>53</v>
      </c>
      <c r="B55" s="84" t="s">
        <v>451</v>
      </c>
      <c r="C55" s="61">
        <v>262221</v>
      </c>
      <c r="D55" s="131">
        <v>1000</v>
      </c>
      <c r="E55" s="61">
        <v>1000</v>
      </c>
      <c r="F55" s="131"/>
      <c r="G55" s="131"/>
      <c r="H55" s="131"/>
      <c r="I55" s="131"/>
      <c r="J55" s="131"/>
      <c r="K55" s="131"/>
      <c r="L55" s="120">
        <f t="shared" si="1"/>
        <v>0</v>
      </c>
    </row>
    <row r="56" spans="1:12" ht="16" x14ac:dyDescent="0.2">
      <c r="A56" s="84">
        <v>54</v>
      </c>
      <c r="B56" s="84" t="s">
        <v>452</v>
      </c>
      <c r="C56" s="61">
        <v>262222</v>
      </c>
      <c r="D56" s="131">
        <v>50</v>
      </c>
      <c r="E56" s="61">
        <v>50</v>
      </c>
      <c r="F56" s="131"/>
      <c r="G56" s="131"/>
      <c r="H56" s="131"/>
      <c r="I56" s="131"/>
      <c r="J56" s="131"/>
      <c r="K56" s="131"/>
      <c r="L56" s="120">
        <f t="shared" si="1"/>
        <v>0</v>
      </c>
    </row>
    <row r="57" spans="1:12" ht="16" x14ac:dyDescent="0.2">
      <c r="A57" s="84">
        <v>55</v>
      </c>
      <c r="B57" s="84" t="s">
        <v>453</v>
      </c>
      <c r="C57" s="61">
        <v>262223</v>
      </c>
      <c r="D57" s="131">
        <v>100</v>
      </c>
      <c r="E57" s="61"/>
      <c r="F57" s="131">
        <v>100</v>
      </c>
      <c r="G57" s="131"/>
      <c r="H57" s="131"/>
      <c r="I57" s="131"/>
      <c r="J57" s="131"/>
      <c r="K57" s="131"/>
      <c r="L57" s="120">
        <f t="shared" si="1"/>
        <v>0</v>
      </c>
    </row>
    <row r="58" spans="1:12" ht="17" customHeight="1" x14ac:dyDescent="0.2">
      <c r="A58" s="84">
        <v>56</v>
      </c>
      <c r="B58" s="84" t="s">
        <v>454</v>
      </c>
      <c r="C58" s="61">
        <v>262224</v>
      </c>
      <c r="D58" s="131">
        <v>100</v>
      </c>
      <c r="E58" s="61"/>
      <c r="F58" s="131">
        <v>100</v>
      </c>
      <c r="G58" s="131"/>
      <c r="H58" s="131"/>
      <c r="I58" s="131"/>
      <c r="J58" s="131"/>
      <c r="K58" s="131"/>
      <c r="L58" s="120">
        <f t="shared" si="1"/>
        <v>0</v>
      </c>
    </row>
    <row r="59" spans="1:12" ht="16" x14ac:dyDescent="0.2">
      <c r="A59" s="84">
        <v>57</v>
      </c>
      <c r="B59" s="137" t="s">
        <v>455</v>
      </c>
      <c r="C59" s="61">
        <v>262225</v>
      </c>
      <c r="D59" s="131">
        <v>150</v>
      </c>
      <c r="E59" s="61"/>
      <c r="F59" s="131">
        <v>150</v>
      </c>
      <c r="G59" s="131"/>
      <c r="H59" s="131"/>
      <c r="I59" s="131"/>
      <c r="J59" s="131"/>
      <c r="K59" s="131"/>
      <c r="L59" s="120">
        <f t="shared" si="1"/>
        <v>0</v>
      </c>
    </row>
    <row r="60" spans="1:12" ht="16" x14ac:dyDescent="0.2">
      <c r="A60" s="84">
        <v>58</v>
      </c>
      <c r="B60" s="84" t="s">
        <v>456</v>
      </c>
      <c r="C60" s="61">
        <v>262226</v>
      </c>
      <c r="D60" s="131">
        <v>50</v>
      </c>
      <c r="E60" s="61"/>
      <c r="F60" s="131"/>
      <c r="G60" s="131"/>
      <c r="H60" s="131"/>
      <c r="I60" s="131"/>
      <c r="J60" s="131">
        <v>50</v>
      </c>
      <c r="K60" s="131"/>
      <c r="L60" s="120">
        <f t="shared" si="1"/>
        <v>0</v>
      </c>
    </row>
    <row r="61" spans="1:12" ht="16" x14ac:dyDescent="0.2">
      <c r="A61" s="84">
        <v>59</v>
      </c>
      <c r="B61" s="84" t="s">
        <v>457</v>
      </c>
      <c r="C61" s="61">
        <v>262227</v>
      </c>
      <c r="D61" s="131">
        <v>100</v>
      </c>
      <c r="E61" s="61"/>
      <c r="F61" s="131"/>
      <c r="G61" s="131"/>
      <c r="H61" s="131"/>
      <c r="I61" s="131"/>
      <c r="J61" s="131">
        <v>100</v>
      </c>
      <c r="K61" s="131"/>
      <c r="L61" s="120">
        <f t="shared" si="1"/>
        <v>0</v>
      </c>
    </row>
    <row r="62" spans="1:12" ht="16" x14ac:dyDescent="0.2">
      <c r="A62" s="84">
        <v>60</v>
      </c>
      <c r="B62" s="84" t="s">
        <v>458</v>
      </c>
      <c r="C62" s="61">
        <v>262228</v>
      </c>
      <c r="D62" s="131">
        <v>2605</v>
      </c>
      <c r="E62" s="61">
        <v>2605</v>
      </c>
      <c r="F62" s="131"/>
      <c r="G62" s="131"/>
      <c r="H62" s="131"/>
      <c r="I62" s="131"/>
      <c r="J62" s="131"/>
      <c r="K62" s="131"/>
      <c r="L62" s="120">
        <f t="shared" si="1"/>
        <v>0</v>
      </c>
    </row>
    <row r="63" spans="1:12" ht="16" x14ac:dyDescent="0.2">
      <c r="A63" s="84">
        <v>61</v>
      </c>
      <c r="B63" s="84" t="s">
        <v>459</v>
      </c>
      <c r="C63" s="61">
        <v>262229</v>
      </c>
      <c r="D63" s="131">
        <v>500</v>
      </c>
      <c r="E63" s="61"/>
      <c r="F63" s="131">
        <v>500</v>
      </c>
      <c r="G63" s="131"/>
      <c r="H63" s="131"/>
      <c r="I63" s="131"/>
      <c r="J63" s="131"/>
      <c r="K63" s="131"/>
      <c r="L63" s="120">
        <f t="shared" si="1"/>
        <v>0</v>
      </c>
    </row>
    <row r="64" spans="1:12" ht="16" x14ac:dyDescent="0.2">
      <c r="A64" s="84">
        <v>62</v>
      </c>
      <c r="B64" s="84" t="s">
        <v>460</v>
      </c>
      <c r="C64" s="61">
        <v>262230</v>
      </c>
      <c r="D64" s="131">
        <v>50</v>
      </c>
      <c r="E64" s="61">
        <v>50</v>
      </c>
      <c r="F64" s="131"/>
      <c r="G64" s="131"/>
      <c r="H64" s="131"/>
      <c r="I64" s="131"/>
      <c r="J64" s="131"/>
      <c r="K64" s="131"/>
      <c r="L64" s="120">
        <f t="shared" si="1"/>
        <v>0</v>
      </c>
    </row>
    <row r="65" spans="1:12" ht="16" x14ac:dyDescent="0.2">
      <c r="A65" s="84">
        <v>63</v>
      </c>
      <c r="B65" s="84" t="s">
        <v>461</v>
      </c>
      <c r="C65" s="61">
        <v>262231</v>
      </c>
      <c r="D65" s="131">
        <v>50</v>
      </c>
      <c r="E65" s="61"/>
      <c r="F65" s="131">
        <v>50</v>
      </c>
      <c r="G65" s="131"/>
      <c r="H65" s="131"/>
      <c r="I65" s="131"/>
      <c r="J65" s="131"/>
      <c r="K65" s="131"/>
      <c r="L65" s="120">
        <f t="shared" si="1"/>
        <v>0</v>
      </c>
    </row>
    <row r="66" spans="1:12" ht="16" x14ac:dyDescent="0.2">
      <c r="A66" s="84">
        <v>64</v>
      </c>
      <c r="B66" s="84" t="s">
        <v>462</v>
      </c>
      <c r="C66" s="61">
        <v>262232</v>
      </c>
      <c r="D66" s="131">
        <v>50</v>
      </c>
      <c r="E66" s="61">
        <v>50</v>
      </c>
      <c r="F66" s="131"/>
      <c r="G66" s="131"/>
      <c r="H66" s="131"/>
      <c r="I66" s="131"/>
      <c r="J66" s="131"/>
      <c r="K66" s="131"/>
      <c r="L66" s="120">
        <f t="shared" si="1"/>
        <v>0</v>
      </c>
    </row>
    <row r="67" spans="1:12" ht="16" x14ac:dyDescent="0.2">
      <c r="A67" s="84">
        <v>65</v>
      </c>
      <c r="B67" s="84" t="s">
        <v>463</v>
      </c>
      <c r="C67" s="61">
        <v>262233</v>
      </c>
      <c r="D67" s="131">
        <v>2692</v>
      </c>
      <c r="E67" s="61">
        <v>2692</v>
      </c>
      <c r="F67" s="131"/>
      <c r="G67" s="131"/>
      <c r="H67" s="131"/>
      <c r="I67" s="131"/>
      <c r="J67" s="131"/>
      <c r="K67" s="131"/>
      <c r="L67" s="120">
        <f t="shared" ref="L67:L98" si="2">SUM(E67:K67)-D67</f>
        <v>0</v>
      </c>
    </row>
    <row r="68" spans="1:12" ht="16" x14ac:dyDescent="0.2">
      <c r="A68" s="84">
        <v>66</v>
      </c>
      <c r="B68" s="84" t="s">
        <v>464</v>
      </c>
      <c r="C68" s="61">
        <v>262234</v>
      </c>
      <c r="D68" s="131">
        <v>300</v>
      </c>
      <c r="E68" s="61">
        <v>300</v>
      </c>
      <c r="F68" s="131"/>
      <c r="G68" s="131"/>
      <c r="H68" s="131"/>
      <c r="I68" s="131"/>
      <c r="J68" s="131"/>
      <c r="K68" s="131"/>
      <c r="L68" s="120">
        <f t="shared" si="2"/>
        <v>0</v>
      </c>
    </row>
    <row r="69" spans="1:12" ht="16" x14ac:dyDescent="0.2">
      <c r="A69" s="84">
        <v>67</v>
      </c>
      <c r="B69" s="84" t="s">
        <v>465</v>
      </c>
      <c r="C69" s="61">
        <v>262235</v>
      </c>
      <c r="D69" s="131">
        <v>4000</v>
      </c>
      <c r="E69" s="61">
        <v>4000</v>
      </c>
      <c r="F69" s="131"/>
      <c r="G69" s="131"/>
      <c r="H69" s="131"/>
      <c r="I69" s="131"/>
      <c r="J69" s="131"/>
      <c r="K69" s="131"/>
      <c r="L69" s="120">
        <f t="shared" si="2"/>
        <v>0</v>
      </c>
    </row>
    <row r="70" spans="1:12" ht="16" x14ac:dyDescent="0.2">
      <c r="A70" s="84">
        <v>68</v>
      </c>
      <c r="B70" s="84" t="s">
        <v>466</v>
      </c>
      <c r="C70" s="61">
        <v>262236</v>
      </c>
      <c r="D70" s="131">
        <v>200</v>
      </c>
      <c r="E70" s="131"/>
      <c r="F70" s="131">
        <v>200</v>
      </c>
      <c r="G70" s="131"/>
      <c r="H70" s="131"/>
      <c r="I70" s="131"/>
      <c r="J70" s="131"/>
      <c r="K70" s="131"/>
      <c r="L70" s="120">
        <f t="shared" si="2"/>
        <v>0</v>
      </c>
    </row>
    <row r="71" spans="1:12" ht="16" x14ac:dyDescent="0.2">
      <c r="A71" s="84">
        <v>69</v>
      </c>
      <c r="B71" s="84" t="s">
        <v>467</v>
      </c>
      <c r="C71" s="61">
        <v>262237</v>
      </c>
      <c r="D71" s="131">
        <v>2400</v>
      </c>
      <c r="E71" s="131">
        <v>2400</v>
      </c>
      <c r="F71" s="131"/>
      <c r="G71" s="131"/>
      <c r="H71" s="131"/>
      <c r="I71" s="131"/>
      <c r="J71" s="131"/>
      <c r="K71" s="131"/>
      <c r="L71" s="120">
        <f t="shared" si="2"/>
        <v>0</v>
      </c>
    </row>
    <row r="72" spans="1:12" ht="16" x14ac:dyDescent="0.2">
      <c r="A72" s="84">
        <v>70</v>
      </c>
      <c r="B72" s="84" t="s">
        <v>468</v>
      </c>
      <c r="C72" s="61">
        <v>262238</v>
      </c>
      <c r="D72" s="131">
        <v>300</v>
      </c>
      <c r="E72" s="131">
        <v>300</v>
      </c>
      <c r="F72" s="131"/>
      <c r="G72" s="131"/>
      <c r="H72" s="131"/>
      <c r="I72" s="131"/>
      <c r="J72" s="131"/>
      <c r="K72" s="131"/>
      <c r="L72" s="120">
        <f t="shared" si="2"/>
        <v>0</v>
      </c>
    </row>
    <row r="73" spans="1:12" ht="16" x14ac:dyDescent="0.2">
      <c r="A73" s="84">
        <v>71</v>
      </c>
      <c r="B73" s="84" t="s">
        <v>469</v>
      </c>
      <c r="C73" s="61">
        <v>262239</v>
      </c>
      <c r="D73" s="131">
        <v>200</v>
      </c>
      <c r="E73" s="131">
        <v>200</v>
      </c>
      <c r="F73" s="131"/>
      <c r="G73" s="131"/>
      <c r="H73" s="131"/>
      <c r="I73" s="131"/>
      <c r="J73" s="131"/>
      <c r="K73" s="131"/>
      <c r="L73" s="120">
        <f t="shared" si="2"/>
        <v>0</v>
      </c>
    </row>
    <row r="74" spans="1:12" ht="16" x14ac:dyDescent="0.2">
      <c r="A74" s="84">
        <v>72</v>
      </c>
      <c r="B74" s="84" t="s">
        <v>470</v>
      </c>
      <c r="C74" s="61">
        <v>262240</v>
      </c>
      <c r="D74" s="131">
        <v>100</v>
      </c>
      <c r="E74" s="131"/>
      <c r="F74" s="131">
        <v>100</v>
      </c>
      <c r="G74" s="131"/>
      <c r="H74" s="131"/>
      <c r="I74" s="131"/>
      <c r="J74" s="131"/>
      <c r="K74" s="131"/>
      <c r="L74" s="120">
        <f t="shared" si="2"/>
        <v>0</v>
      </c>
    </row>
    <row r="75" spans="1:12" ht="16" x14ac:dyDescent="0.2">
      <c r="A75" s="84">
        <v>73</v>
      </c>
      <c r="B75" s="84" t="s">
        <v>471</v>
      </c>
      <c r="C75" s="61">
        <v>262241</v>
      </c>
      <c r="D75" s="131">
        <v>1200</v>
      </c>
      <c r="E75" s="131">
        <v>1200</v>
      </c>
      <c r="F75" s="131"/>
      <c r="G75" s="131"/>
      <c r="H75" s="131"/>
      <c r="I75" s="131"/>
      <c r="J75" s="131"/>
      <c r="K75" s="131"/>
      <c r="L75" s="120">
        <f t="shared" si="2"/>
        <v>0</v>
      </c>
    </row>
    <row r="76" spans="1:12" ht="16" x14ac:dyDescent="0.2">
      <c r="A76" s="84">
        <v>74</v>
      </c>
      <c r="B76" s="84" t="s">
        <v>472</v>
      </c>
      <c r="C76" s="61">
        <v>262242</v>
      </c>
      <c r="D76" s="131">
        <v>50</v>
      </c>
      <c r="E76" s="131"/>
      <c r="F76" s="131">
        <v>50</v>
      </c>
      <c r="G76" s="131"/>
      <c r="H76" s="131"/>
      <c r="I76" s="131"/>
      <c r="J76" s="131"/>
      <c r="K76" s="131"/>
      <c r="L76" s="120">
        <f t="shared" si="2"/>
        <v>0</v>
      </c>
    </row>
    <row r="77" spans="1:12" ht="16" x14ac:dyDescent="0.2">
      <c r="A77" s="84">
        <v>75</v>
      </c>
      <c r="B77" s="84" t="s">
        <v>473</v>
      </c>
      <c r="C77" s="61">
        <v>262243</v>
      </c>
      <c r="D77" s="131">
        <v>100</v>
      </c>
      <c r="E77" s="131"/>
      <c r="F77" s="131">
        <v>100</v>
      </c>
      <c r="G77" s="131"/>
      <c r="H77" s="131"/>
      <c r="I77" s="131"/>
      <c r="J77" s="131"/>
      <c r="K77" s="131"/>
      <c r="L77" s="120">
        <f t="shared" si="2"/>
        <v>0</v>
      </c>
    </row>
    <row r="78" spans="1:12" ht="16" x14ac:dyDescent="0.2">
      <c r="A78" s="84">
        <v>76</v>
      </c>
      <c r="B78" s="84" t="s">
        <v>474</v>
      </c>
      <c r="C78" s="61">
        <v>262244</v>
      </c>
      <c r="D78" s="131">
        <v>70</v>
      </c>
      <c r="E78" s="131">
        <v>70</v>
      </c>
      <c r="F78" s="131"/>
      <c r="G78" s="131"/>
      <c r="H78" s="131"/>
      <c r="I78" s="131"/>
      <c r="J78" s="131"/>
      <c r="K78" s="131"/>
      <c r="L78" s="120">
        <f t="shared" si="2"/>
        <v>0</v>
      </c>
    </row>
    <row r="79" spans="1:12" ht="16" x14ac:dyDescent="0.2">
      <c r="A79" s="84">
        <v>77</v>
      </c>
      <c r="B79" s="84" t="s">
        <v>475</v>
      </c>
      <c r="C79" s="61">
        <v>262245</v>
      </c>
      <c r="D79" s="131">
        <v>180</v>
      </c>
      <c r="E79" s="131">
        <v>180</v>
      </c>
      <c r="F79" s="131"/>
      <c r="G79" s="131"/>
      <c r="H79" s="131"/>
      <c r="I79" s="131"/>
      <c r="J79" s="131"/>
      <c r="K79" s="131"/>
      <c r="L79" s="120">
        <f t="shared" si="2"/>
        <v>0</v>
      </c>
    </row>
    <row r="80" spans="1:12" ht="16" x14ac:dyDescent="0.2">
      <c r="A80" s="84">
        <v>78</v>
      </c>
      <c r="B80" s="84" t="s">
        <v>476</v>
      </c>
      <c r="C80" s="61">
        <v>262246</v>
      </c>
      <c r="D80" s="131">
        <v>40</v>
      </c>
      <c r="E80" s="131">
        <v>40</v>
      </c>
      <c r="F80" s="131"/>
      <c r="G80" s="131"/>
      <c r="H80" s="131"/>
      <c r="I80" s="131"/>
      <c r="J80" s="131"/>
      <c r="K80" s="131"/>
      <c r="L80" s="120">
        <f t="shared" si="2"/>
        <v>0</v>
      </c>
    </row>
    <row r="81" spans="1:12" ht="16" x14ac:dyDescent="0.2">
      <c r="A81" s="84">
        <v>79</v>
      </c>
      <c r="B81" s="84" t="s">
        <v>477</v>
      </c>
      <c r="C81" s="61">
        <v>262247</v>
      </c>
      <c r="D81" s="131">
        <v>50</v>
      </c>
      <c r="E81" s="131"/>
      <c r="F81" s="131">
        <v>50</v>
      </c>
      <c r="G81" s="131"/>
      <c r="H81" s="131"/>
      <c r="I81" s="131"/>
      <c r="J81" s="131"/>
      <c r="K81" s="131"/>
      <c r="L81" s="120">
        <f t="shared" si="2"/>
        <v>0</v>
      </c>
    </row>
    <row r="82" spans="1:12" ht="16" x14ac:dyDescent="0.2">
      <c r="A82" s="84">
        <v>80</v>
      </c>
      <c r="B82" s="84" t="s">
        <v>478</v>
      </c>
      <c r="C82" s="61">
        <v>262248</v>
      </c>
      <c r="D82" s="131">
        <v>200</v>
      </c>
      <c r="E82" s="131"/>
      <c r="F82" s="131">
        <v>200</v>
      </c>
      <c r="G82" s="131"/>
      <c r="H82" s="131"/>
      <c r="I82" s="131"/>
      <c r="J82" s="131"/>
      <c r="K82" s="131"/>
      <c r="L82" s="120">
        <f t="shared" si="2"/>
        <v>0</v>
      </c>
    </row>
    <row r="83" spans="1:12" ht="16" x14ac:dyDescent="0.2">
      <c r="A83" s="84">
        <v>81</v>
      </c>
      <c r="B83" s="84" t="s">
        <v>479</v>
      </c>
      <c r="C83" s="61">
        <v>83309</v>
      </c>
      <c r="D83" s="131">
        <v>3825</v>
      </c>
      <c r="E83" s="131"/>
      <c r="F83" s="131"/>
      <c r="G83" s="131"/>
      <c r="H83" s="131">
        <v>3825</v>
      </c>
      <c r="I83" s="131"/>
      <c r="J83" s="131"/>
      <c r="K83" s="131"/>
      <c r="L83" s="120">
        <f t="shared" si="2"/>
        <v>0</v>
      </c>
    </row>
    <row r="84" spans="1:12" ht="16" x14ac:dyDescent="0.2">
      <c r="A84" s="84">
        <v>82</v>
      </c>
      <c r="B84" s="84" t="s">
        <v>480</v>
      </c>
      <c r="C84" s="61">
        <v>83310</v>
      </c>
      <c r="D84" s="131">
        <v>2000</v>
      </c>
      <c r="E84" s="131"/>
      <c r="F84" s="131"/>
      <c r="G84" s="131"/>
      <c r="H84" s="131">
        <v>2000</v>
      </c>
      <c r="I84" s="131"/>
      <c r="J84" s="131"/>
      <c r="K84" s="131"/>
      <c r="L84" s="120">
        <f t="shared" si="2"/>
        <v>0</v>
      </c>
    </row>
    <row r="85" spans="1:12" ht="16" x14ac:dyDescent="0.2">
      <c r="A85" s="84">
        <v>83</v>
      </c>
      <c r="B85" s="84" t="s">
        <v>481</v>
      </c>
      <c r="C85" s="61">
        <v>83311</v>
      </c>
      <c r="D85" s="131">
        <v>600</v>
      </c>
      <c r="E85" s="131"/>
      <c r="F85" s="131"/>
      <c r="G85" s="131"/>
      <c r="H85" s="131">
        <v>600</v>
      </c>
      <c r="I85" s="131"/>
      <c r="J85" s="131"/>
      <c r="K85" s="131"/>
      <c r="L85" s="120">
        <f t="shared" si="2"/>
        <v>0</v>
      </c>
    </row>
    <row r="86" spans="1:12" ht="16" x14ac:dyDescent="0.2">
      <c r="A86" s="84">
        <v>84</v>
      </c>
      <c r="B86" s="84" t="s">
        <v>482</v>
      </c>
      <c r="C86" s="61">
        <v>83312</v>
      </c>
      <c r="D86" s="131">
        <v>500</v>
      </c>
      <c r="E86" s="131"/>
      <c r="F86" s="131"/>
      <c r="G86" s="131"/>
      <c r="H86" s="131">
        <v>500</v>
      </c>
      <c r="I86" s="131"/>
      <c r="J86" s="131"/>
      <c r="K86" s="131"/>
      <c r="L86" s="120">
        <f t="shared" si="2"/>
        <v>0</v>
      </c>
    </row>
    <row r="87" spans="1:12" ht="16" x14ac:dyDescent="0.2">
      <c r="A87" s="84">
        <v>85</v>
      </c>
      <c r="B87" s="84" t="s">
        <v>483</v>
      </c>
      <c r="C87" s="61">
        <v>83313</v>
      </c>
      <c r="D87" s="131">
        <v>500</v>
      </c>
      <c r="E87" s="131"/>
      <c r="F87" s="131"/>
      <c r="G87" s="131"/>
      <c r="H87" s="131">
        <v>500</v>
      </c>
      <c r="I87" s="131"/>
      <c r="J87" s="131"/>
      <c r="K87" s="131"/>
      <c r="L87" s="120">
        <f t="shared" si="2"/>
        <v>0</v>
      </c>
    </row>
    <row r="88" spans="1:12" ht="16" x14ac:dyDescent="0.2">
      <c r="A88" s="84">
        <v>86</v>
      </c>
      <c r="B88" s="84" t="s">
        <v>484</v>
      </c>
      <c r="C88" s="61">
        <v>83314</v>
      </c>
      <c r="D88" s="131">
        <v>500</v>
      </c>
      <c r="E88" s="131">
        <v>200</v>
      </c>
      <c r="F88" s="131">
        <v>100</v>
      </c>
      <c r="G88" s="131">
        <v>100</v>
      </c>
      <c r="H88" s="131"/>
      <c r="I88" s="131">
        <v>100</v>
      </c>
      <c r="J88" s="131"/>
      <c r="K88" s="131"/>
      <c r="L88" s="120">
        <f t="shared" si="2"/>
        <v>0</v>
      </c>
    </row>
    <row r="89" spans="1:12" ht="16" x14ac:dyDescent="0.2">
      <c r="A89" s="84">
        <v>87</v>
      </c>
      <c r="B89" s="84" t="s">
        <v>485</v>
      </c>
      <c r="C89" s="61">
        <v>83315</v>
      </c>
      <c r="D89" s="131">
        <v>500</v>
      </c>
      <c r="E89" s="131"/>
      <c r="F89" s="131"/>
      <c r="G89" s="131"/>
      <c r="H89" s="131">
        <v>500</v>
      </c>
      <c r="I89" s="131"/>
      <c r="J89" s="131"/>
      <c r="K89" s="131"/>
      <c r="L89" s="120">
        <f t="shared" si="2"/>
        <v>0</v>
      </c>
    </row>
    <row r="90" spans="1:12" ht="16" x14ac:dyDescent="0.2">
      <c r="A90" s="84">
        <v>88</v>
      </c>
      <c r="B90" s="84" t="s">
        <v>486</v>
      </c>
      <c r="C90" s="61">
        <v>83316</v>
      </c>
      <c r="D90" s="131">
        <v>200</v>
      </c>
      <c r="E90" s="131"/>
      <c r="F90" s="131"/>
      <c r="G90" s="131"/>
      <c r="H90" s="131"/>
      <c r="I90" s="131"/>
      <c r="J90" s="131"/>
      <c r="K90" s="131">
        <v>200</v>
      </c>
      <c r="L90" s="120">
        <f t="shared" si="2"/>
        <v>0</v>
      </c>
    </row>
    <row r="91" spans="1:12" ht="16" x14ac:dyDescent="0.2">
      <c r="A91" s="84">
        <v>89</v>
      </c>
      <c r="B91" s="84" t="s">
        <v>487</v>
      </c>
      <c r="C91" s="61">
        <v>83317</v>
      </c>
      <c r="D91" s="131">
        <v>10100</v>
      </c>
      <c r="E91" s="131">
        <v>10000</v>
      </c>
      <c r="F91" s="131"/>
      <c r="G91" s="131"/>
      <c r="H91" s="131">
        <v>100</v>
      </c>
      <c r="I91" s="131"/>
      <c r="J91" s="131"/>
      <c r="K91" s="131"/>
      <c r="L91" s="120">
        <f t="shared" si="2"/>
        <v>0</v>
      </c>
    </row>
    <row r="92" spans="1:12" ht="16" x14ac:dyDescent="0.2">
      <c r="A92" s="84">
        <v>90</v>
      </c>
      <c r="B92" s="84" t="s">
        <v>488</v>
      </c>
      <c r="C92" s="61">
        <v>83318</v>
      </c>
      <c r="D92" s="131">
        <v>100</v>
      </c>
      <c r="E92" s="131">
        <v>100</v>
      </c>
      <c r="F92" s="131"/>
      <c r="G92" s="131"/>
      <c r="H92" s="131"/>
      <c r="I92" s="131"/>
      <c r="J92" s="131"/>
      <c r="K92" s="131"/>
      <c r="L92" s="120">
        <f t="shared" si="2"/>
        <v>0</v>
      </c>
    </row>
    <row r="93" spans="1:12" ht="16" x14ac:dyDescent="0.2">
      <c r="A93" s="84">
        <v>91</v>
      </c>
      <c r="B93" s="84" t="s">
        <v>489</v>
      </c>
      <c r="C93" s="61">
        <v>83319</v>
      </c>
      <c r="D93" s="131">
        <v>50</v>
      </c>
      <c r="E93" s="131"/>
      <c r="F93" s="131">
        <v>30</v>
      </c>
      <c r="G93" s="131"/>
      <c r="H93" s="131"/>
      <c r="I93" s="131">
        <v>20</v>
      </c>
      <c r="J93" s="131"/>
      <c r="K93" s="131"/>
      <c r="L93" s="120">
        <f t="shared" si="2"/>
        <v>0</v>
      </c>
    </row>
    <row r="94" spans="1:12" ht="16" x14ac:dyDescent="0.2">
      <c r="A94" s="84">
        <v>92</v>
      </c>
      <c r="B94" s="84" t="s">
        <v>490</v>
      </c>
      <c r="C94" s="61">
        <v>83320</v>
      </c>
      <c r="D94" s="131">
        <v>100</v>
      </c>
      <c r="E94" s="131">
        <v>50</v>
      </c>
      <c r="F94" s="131"/>
      <c r="G94" s="131"/>
      <c r="H94" s="131">
        <v>50</v>
      </c>
      <c r="I94" s="131"/>
      <c r="J94" s="131"/>
      <c r="K94" s="131"/>
      <c r="L94" s="120">
        <f t="shared" si="2"/>
        <v>0</v>
      </c>
    </row>
    <row r="95" spans="1:12" ht="16" x14ac:dyDescent="0.2">
      <c r="A95" s="84">
        <v>93</v>
      </c>
      <c r="B95" s="84" t="s">
        <v>491</v>
      </c>
      <c r="C95" s="61">
        <v>83321</v>
      </c>
      <c r="D95" s="131">
        <v>100</v>
      </c>
      <c r="E95" s="131"/>
      <c r="F95" s="131">
        <v>100</v>
      </c>
      <c r="G95" s="131"/>
      <c r="H95" s="131"/>
      <c r="I95" s="131"/>
      <c r="J95" s="131"/>
      <c r="K95" s="131"/>
      <c r="L95" s="120">
        <f t="shared" si="2"/>
        <v>0</v>
      </c>
    </row>
    <row r="96" spans="1:12" ht="16" x14ac:dyDescent="0.2">
      <c r="A96" s="84">
        <v>94</v>
      </c>
      <c r="B96" s="84" t="s">
        <v>492</v>
      </c>
      <c r="C96" s="61">
        <v>83322</v>
      </c>
      <c r="D96" s="131">
        <v>50</v>
      </c>
      <c r="E96" s="131"/>
      <c r="F96" s="131"/>
      <c r="G96" s="131"/>
      <c r="H96" s="131">
        <v>50</v>
      </c>
      <c r="I96" s="131"/>
      <c r="J96" s="131"/>
      <c r="K96" s="131"/>
      <c r="L96" s="120">
        <f t="shared" si="2"/>
        <v>0</v>
      </c>
    </row>
    <row r="97" spans="1:12" ht="16" x14ac:dyDescent="0.2">
      <c r="A97" s="84">
        <v>95</v>
      </c>
      <c r="B97" s="84" t="s">
        <v>493</v>
      </c>
      <c r="C97" s="61">
        <v>83323</v>
      </c>
      <c r="D97" s="131">
        <v>200</v>
      </c>
      <c r="E97" s="131">
        <v>200</v>
      </c>
      <c r="F97" s="131"/>
      <c r="G97" s="131"/>
      <c r="H97" s="131"/>
      <c r="I97" s="131"/>
      <c r="J97" s="131"/>
      <c r="K97" s="131"/>
      <c r="L97" s="120">
        <f t="shared" si="2"/>
        <v>0</v>
      </c>
    </row>
    <row r="98" spans="1:12" ht="16" x14ac:dyDescent="0.2">
      <c r="A98" s="84">
        <v>96</v>
      </c>
      <c r="B98" s="84" t="s">
        <v>494</v>
      </c>
      <c r="C98" s="61">
        <v>83324</v>
      </c>
      <c r="D98" s="131">
        <v>200</v>
      </c>
      <c r="E98" s="131"/>
      <c r="F98" s="131"/>
      <c r="G98" s="131"/>
      <c r="H98" s="131">
        <v>200</v>
      </c>
      <c r="I98" s="131"/>
      <c r="J98" s="131"/>
      <c r="K98" s="131"/>
      <c r="L98" s="120">
        <f t="shared" si="2"/>
        <v>0</v>
      </c>
    </row>
    <row r="99" spans="1:12" ht="16" x14ac:dyDescent="0.2">
      <c r="A99" s="84">
        <v>97</v>
      </c>
      <c r="B99" s="84" t="s">
        <v>421</v>
      </c>
      <c r="C99" s="61">
        <v>83325</v>
      </c>
      <c r="D99" s="131">
        <v>200</v>
      </c>
      <c r="E99" s="131">
        <v>200</v>
      </c>
      <c r="F99" s="131"/>
      <c r="G99" s="131"/>
      <c r="H99" s="131"/>
      <c r="I99" s="131"/>
      <c r="J99" s="131"/>
      <c r="K99" s="131"/>
      <c r="L99" s="120">
        <f t="shared" ref="L99:L130" si="3">SUM(E99:K99)-D99</f>
        <v>0</v>
      </c>
    </row>
    <row r="100" spans="1:12" ht="16" x14ac:dyDescent="0.2">
      <c r="A100" s="84">
        <v>98</v>
      </c>
      <c r="B100" s="84" t="s">
        <v>495</v>
      </c>
      <c r="C100" s="61">
        <v>83326</v>
      </c>
      <c r="D100" s="131">
        <v>1000</v>
      </c>
      <c r="E100" s="131"/>
      <c r="F100" s="131"/>
      <c r="G100" s="131"/>
      <c r="H100" s="131">
        <v>1000</v>
      </c>
      <c r="I100" s="131"/>
      <c r="J100" s="131"/>
      <c r="K100" s="131"/>
      <c r="L100" s="120">
        <f t="shared" si="3"/>
        <v>0</v>
      </c>
    </row>
    <row r="101" spans="1:12" ht="16" x14ac:dyDescent="0.2">
      <c r="A101" s="84">
        <v>99</v>
      </c>
      <c r="B101" s="84" t="s">
        <v>496</v>
      </c>
      <c r="C101" s="61">
        <v>83327</v>
      </c>
      <c r="D101" s="131">
        <v>1000</v>
      </c>
      <c r="E101" s="131">
        <v>1000</v>
      </c>
      <c r="F101" s="131"/>
      <c r="G101" s="131"/>
      <c r="H101" s="131"/>
      <c r="I101" s="131"/>
      <c r="J101" s="131"/>
      <c r="K101" s="131"/>
      <c r="L101" s="120">
        <f t="shared" si="3"/>
        <v>0</v>
      </c>
    </row>
    <row r="102" spans="1:12" ht="16" x14ac:dyDescent="0.2">
      <c r="A102" s="84">
        <v>100</v>
      </c>
      <c r="B102" s="84" t="s">
        <v>497</v>
      </c>
      <c r="C102" s="61">
        <v>83328</v>
      </c>
      <c r="D102" s="131">
        <v>1800</v>
      </c>
      <c r="E102" s="131"/>
      <c r="F102" s="131"/>
      <c r="G102" s="131"/>
      <c r="H102" s="131">
        <v>1800</v>
      </c>
      <c r="I102" s="131"/>
      <c r="J102" s="131"/>
      <c r="K102" s="131"/>
      <c r="L102" s="120">
        <f t="shared" si="3"/>
        <v>0</v>
      </c>
    </row>
    <row r="103" spans="1:12" ht="16" x14ac:dyDescent="0.2">
      <c r="A103" s="84">
        <v>101</v>
      </c>
      <c r="B103" s="84" t="s">
        <v>498</v>
      </c>
      <c r="C103" s="61">
        <v>83329</v>
      </c>
      <c r="D103" s="131">
        <v>1000</v>
      </c>
      <c r="E103" s="131"/>
      <c r="F103" s="131"/>
      <c r="G103" s="131"/>
      <c r="H103" s="131">
        <v>1000</v>
      </c>
      <c r="I103" s="131"/>
      <c r="J103" s="131"/>
      <c r="K103" s="131"/>
      <c r="L103" s="120">
        <f t="shared" si="3"/>
        <v>0</v>
      </c>
    </row>
    <row r="104" spans="1:12" ht="16" x14ac:dyDescent="0.2">
      <c r="A104" s="84">
        <v>102</v>
      </c>
      <c r="B104" s="84" t="s">
        <v>499</v>
      </c>
      <c r="C104" s="61">
        <v>83330</v>
      </c>
      <c r="D104" s="131">
        <v>1000</v>
      </c>
      <c r="E104" s="131"/>
      <c r="F104" s="131"/>
      <c r="G104" s="131"/>
      <c r="H104" s="131">
        <v>1000</v>
      </c>
      <c r="I104" s="131"/>
      <c r="J104" s="131"/>
      <c r="K104" s="131"/>
      <c r="L104" s="120">
        <f t="shared" si="3"/>
        <v>0</v>
      </c>
    </row>
    <row r="105" spans="1:12" ht="16" x14ac:dyDescent="0.2">
      <c r="A105" s="84">
        <v>103</v>
      </c>
      <c r="B105" s="84" t="s">
        <v>500</v>
      </c>
      <c r="C105" s="61">
        <v>83331</v>
      </c>
      <c r="D105" s="131">
        <v>200</v>
      </c>
      <c r="E105" s="131"/>
      <c r="F105" s="131"/>
      <c r="G105" s="131"/>
      <c r="H105" s="131">
        <v>200</v>
      </c>
      <c r="I105" s="131"/>
      <c r="J105" s="131"/>
      <c r="K105" s="131"/>
      <c r="L105" s="120">
        <f t="shared" si="3"/>
        <v>0</v>
      </c>
    </row>
    <row r="106" spans="1:12" ht="16" x14ac:dyDescent="0.2">
      <c r="A106" s="84">
        <v>104</v>
      </c>
      <c r="B106" s="84" t="s">
        <v>501</v>
      </c>
      <c r="C106" s="61">
        <v>83332</v>
      </c>
      <c r="D106" s="131">
        <v>500</v>
      </c>
      <c r="E106" s="131"/>
      <c r="F106" s="131"/>
      <c r="G106" s="131"/>
      <c r="H106" s="131">
        <v>500</v>
      </c>
      <c r="I106" s="131"/>
      <c r="J106" s="131"/>
      <c r="K106" s="131"/>
      <c r="L106" s="120">
        <f t="shared" si="3"/>
        <v>0</v>
      </c>
    </row>
    <row r="107" spans="1:12" ht="16" x14ac:dyDescent="0.2">
      <c r="A107" s="84">
        <v>105</v>
      </c>
      <c r="B107" s="84" t="s">
        <v>502</v>
      </c>
      <c r="C107" s="61">
        <v>83333</v>
      </c>
      <c r="D107" s="131">
        <v>1000</v>
      </c>
      <c r="E107" s="131"/>
      <c r="F107" s="131"/>
      <c r="G107" s="131"/>
      <c r="H107" s="131">
        <v>1000</v>
      </c>
      <c r="I107" s="131"/>
      <c r="J107" s="131"/>
      <c r="K107" s="131"/>
      <c r="L107" s="120">
        <f t="shared" si="3"/>
        <v>0</v>
      </c>
    </row>
    <row r="108" spans="1:12" ht="16" x14ac:dyDescent="0.2">
      <c r="A108" s="84">
        <v>106</v>
      </c>
      <c r="B108" s="84" t="s">
        <v>503</v>
      </c>
      <c r="C108" s="61">
        <v>83334</v>
      </c>
      <c r="D108" s="131">
        <v>150</v>
      </c>
      <c r="E108" s="131"/>
      <c r="F108" s="131"/>
      <c r="G108" s="131"/>
      <c r="H108" s="131">
        <v>150</v>
      </c>
      <c r="I108" s="131"/>
      <c r="J108" s="131"/>
      <c r="K108" s="131"/>
      <c r="L108" s="120">
        <f t="shared" si="3"/>
        <v>0</v>
      </c>
    </row>
    <row r="109" spans="1:12" ht="16" x14ac:dyDescent="0.2">
      <c r="A109" s="84">
        <v>107</v>
      </c>
      <c r="B109" s="84" t="s">
        <v>504</v>
      </c>
      <c r="C109" s="61">
        <v>83335</v>
      </c>
      <c r="D109" s="131">
        <v>1750</v>
      </c>
      <c r="E109" s="131"/>
      <c r="F109" s="131"/>
      <c r="G109" s="131"/>
      <c r="H109" s="131">
        <v>1750</v>
      </c>
      <c r="I109" s="131"/>
      <c r="J109" s="131"/>
      <c r="K109" s="131"/>
      <c r="L109" s="120">
        <f t="shared" si="3"/>
        <v>0</v>
      </c>
    </row>
    <row r="110" spans="1:12" ht="16" x14ac:dyDescent="0.2">
      <c r="A110" s="84">
        <v>108</v>
      </c>
      <c r="B110" s="84" t="s">
        <v>505</v>
      </c>
      <c r="C110" s="61">
        <v>83336</v>
      </c>
      <c r="D110" s="131">
        <v>2000</v>
      </c>
      <c r="E110" s="131"/>
      <c r="F110" s="131"/>
      <c r="G110" s="131"/>
      <c r="H110" s="131"/>
      <c r="I110" s="131"/>
      <c r="J110" s="131">
        <v>2000</v>
      </c>
      <c r="K110" s="131"/>
      <c r="L110" s="120">
        <f t="shared" si="3"/>
        <v>0</v>
      </c>
    </row>
    <row r="111" spans="1:12" ht="16" x14ac:dyDescent="0.2">
      <c r="A111" s="84">
        <v>109</v>
      </c>
      <c r="B111" s="84" t="s">
        <v>506</v>
      </c>
      <c r="C111" s="61">
        <v>83337</v>
      </c>
      <c r="D111" s="131">
        <v>500</v>
      </c>
      <c r="E111" s="131">
        <v>300</v>
      </c>
      <c r="F111" s="131">
        <v>200</v>
      </c>
      <c r="G111" s="131"/>
      <c r="H111" s="131"/>
      <c r="I111" s="131"/>
      <c r="J111" s="131"/>
      <c r="K111" s="131"/>
      <c r="L111" s="120">
        <f t="shared" si="3"/>
        <v>0</v>
      </c>
    </row>
    <row r="112" spans="1:12" ht="16" x14ac:dyDescent="0.2">
      <c r="A112" s="84">
        <v>110</v>
      </c>
      <c r="B112" s="84" t="s">
        <v>507</v>
      </c>
      <c r="C112" s="61">
        <v>83338</v>
      </c>
      <c r="D112" s="131">
        <v>300</v>
      </c>
      <c r="E112" s="131"/>
      <c r="F112" s="131"/>
      <c r="G112" s="131"/>
      <c r="H112" s="131"/>
      <c r="I112" s="131">
        <v>300</v>
      </c>
      <c r="J112" s="131"/>
      <c r="K112" s="131"/>
      <c r="L112" s="120">
        <f t="shared" si="3"/>
        <v>0</v>
      </c>
    </row>
    <row r="113" spans="1:12" ht="16" x14ac:dyDescent="0.2">
      <c r="A113" s="84">
        <v>111</v>
      </c>
      <c r="B113" s="84" t="s">
        <v>508</v>
      </c>
      <c r="C113" s="61">
        <v>83339</v>
      </c>
      <c r="D113" s="131">
        <v>1000</v>
      </c>
      <c r="E113" s="131"/>
      <c r="F113" s="131"/>
      <c r="G113" s="131"/>
      <c r="H113" s="131"/>
      <c r="I113" s="131"/>
      <c r="J113" s="131">
        <v>1000</v>
      </c>
      <c r="K113" s="131"/>
      <c r="L113" s="120">
        <f t="shared" si="3"/>
        <v>0</v>
      </c>
    </row>
    <row r="114" spans="1:12" ht="16" x14ac:dyDescent="0.2">
      <c r="A114" s="84">
        <v>112</v>
      </c>
      <c r="B114" s="84" t="s">
        <v>509</v>
      </c>
      <c r="C114" s="61">
        <v>83340</v>
      </c>
      <c r="D114" s="131">
        <v>200</v>
      </c>
      <c r="E114" s="131"/>
      <c r="F114" s="131">
        <v>200</v>
      </c>
      <c r="G114" s="131"/>
      <c r="H114" s="131"/>
      <c r="I114" s="131"/>
      <c r="J114" s="131"/>
      <c r="K114" s="131"/>
      <c r="L114" s="120">
        <f t="shared" si="3"/>
        <v>0</v>
      </c>
    </row>
    <row r="115" spans="1:12" ht="16" x14ac:dyDescent="0.2">
      <c r="A115" s="84">
        <v>113</v>
      </c>
      <c r="B115" s="84" t="s">
        <v>510</v>
      </c>
      <c r="C115" s="61">
        <v>83341</v>
      </c>
      <c r="D115" s="131">
        <v>1000</v>
      </c>
      <c r="E115" s="131"/>
      <c r="F115" s="131"/>
      <c r="G115" s="131"/>
      <c r="H115" s="131"/>
      <c r="I115" s="131">
        <v>1000</v>
      </c>
      <c r="J115" s="131"/>
      <c r="K115" s="131"/>
      <c r="L115" s="120">
        <f t="shared" si="3"/>
        <v>0</v>
      </c>
    </row>
    <row r="116" spans="1:12" ht="16" x14ac:dyDescent="0.2">
      <c r="A116" s="84">
        <v>114</v>
      </c>
      <c r="B116" s="84" t="s">
        <v>511</v>
      </c>
      <c r="C116" s="61">
        <v>83342</v>
      </c>
      <c r="D116" s="131">
        <v>5500</v>
      </c>
      <c r="E116" s="131">
        <v>5000</v>
      </c>
      <c r="F116" s="131"/>
      <c r="G116" s="131"/>
      <c r="H116" s="131"/>
      <c r="I116" s="131">
        <v>500</v>
      </c>
      <c r="J116" s="131"/>
      <c r="K116" s="131"/>
      <c r="L116" s="120">
        <f t="shared" si="3"/>
        <v>0</v>
      </c>
    </row>
    <row r="117" spans="1:12" ht="16" x14ac:dyDescent="0.2">
      <c r="A117" s="84">
        <v>115</v>
      </c>
      <c r="B117" s="84" t="s">
        <v>512</v>
      </c>
      <c r="C117" s="61">
        <v>83343</v>
      </c>
      <c r="D117" s="131">
        <v>500</v>
      </c>
      <c r="E117" s="131"/>
      <c r="F117" s="131">
        <v>500</v>
      </c>
      <c r="G117" s="131"/>
      <c r="H117" s="131"/>
      <c r="I117" s="131"/>
      <c r="J117" s="131"/>
      <c r="K117" s="131"/>
      <c r="L117" s="120">
        <f t="shared" si="3"/>
        <v>0</v>
      </c>
    </row>
    <row r="118" spans="1:12" ht="16" x14ac:dyDescent="0.2">
      <c r="A118" s="84">
        <v>116</v>
      </c>
      <c r="B118" s="84" t="s">
        <v>513</v>
      </c>
      <c r="C118" s="61">
        <v>83344</v>
      </c>
      <c r="D118" s="131">
        <v>150</v>
      </c>
      <c r="E118" s="131"/>
      <c r="F118" s="131"/>
      <c r="G118" s="131"/>
      <c r="H118" s="131"/>
      <c r="I118" s="131">
        <v>150</v>
      </c>
      <c r="J118" s="131"/>
      <c r="K118" s="131"/>
      <c r="L118" s="120">
        <f t="shared" si="3"/>
        <v>0</v>
      </c>
    </row>
    <row r="119" spans="1:12" ht="16" x14ac:dyDescent="0.2">
      <c r="A119" s="84">
        <v>117</v>
      </c>
      <c r="B119" s="84" t="s">
        <v>514</v>
      </c>
      <c r="C119" s="61">
        <v>83345</v>
      </c>
      <c r="D119" s="131">
        <v>100</v>
      </c>
      <c r="E119" s="131"/>
      <c r="F119" s="131">
        <v>100</v>
      </c>
      <c r="G119" s="131"/>
      <c r="H119" s="131"/>
      <c r="I119" s="131"/>
      <c r="J119" s="131"/>
      <c r="K119" s="131"/>
      <c r="L119" s="120">
        <f t="shared" si="3"/>
        <v>0</v>
      </c>
    </row>
    <row r="120" spans="1:12" ht="16" x14ac:dyDescent="0.2">
      <c r="A120" s="84">
        <v>118</v>
      </c>
      <c r="B120" s="84" t="s">
        <v>515</v>
      </c>
      <c r="C120" s="61">
        <v>83346</v>
      </c>
      <c r="D120" s="131">
        <v>100</v>
      </c>
      <c r="E120" s="131"/>
      <c r="F120" s="131"/>
      <c r="G120" s="131"/>
      <c r="H120" s="131">
        <v>100</v>
      </c>
      <c r="I120" s="131"/>
      <c r="J120" s="131"/>
      <c r="K120" s="131"/>
      <c r="L120" s="120">
        <f t="shared" si="3"/>
        <v>0</v>
      </c>
    </row>
    <row r="121" spans="1:12" ht="16" x14ac:dyDescent="0.2">
      <c r="A121" s="84">
        <v>119</v>
      </c>
      <c r="B121" s="84" t="s">
        <v>516</v>
      </c>
      <c r="C121" s="61">
        <v>83347</v>
      </c>
      <c r="D121" s="131">
        <v>100</v>
      </c>
      <c r="E121" s="131"/>
      <c r="F121" s="131">
        <v>100</v>
      </c>
      <c r="G121" s="131"/>
      <c r="H121" s="131"/>
      <c r="I121" s="131"/>
      <c r="J121" s="131"/>
      <c r="K121" s="131"/>
      <c r="L121" s="120">
        <f t="shared" si="3"/>
        <v>0</v>
      </c>
    </row>
    <row r="122" spans="1:12" ht="16" x14ac:dyDescent="0.2">
      <c r="A122" s="84">
        <v>120</v>
      </c>
      <c r="B122" s="84" t="s">
        <v>164</v>
      </c>
      <c r="C122" s="61">
        <v>83348</v>
      </c>
      <c r="D122" s="131">
        <v>100</v>
      </c>
      <c r="E122" s="131"/>
      <c r="F122" s="131">
        <v>100</v>
      </c>
      <c r="G122" s="131"/>
      <c r="H122" s="131"/>
      <c r="I122" s="131"/>
      <c r="J122" s="131"/>
      <c r="K122" s="131"/>
      <c r="L122" s="120">
        <f t="shared" si="3"/>
        <v>0</v>
      </c>
    </row>
    <row r="123" spans="1:12" ht="16" x14ac:dyDescent="0.2">
      <c r="A123" s="84">
        <v>121</v>
      </c>
      <c r="B123" s="84" t="s">
        <v>517</v>
      </c>
      <c r="C123" s="61">
        <v>83349</v>
      </c>
      <c r="D123" s="131">
        <v>50</v>
      </c>
      <c r="E123" s="131"/>
      <c r="F123" s="131"/>
      <c r="G123" s="131"/>
      <c r="H123" s="131"/>
      <c r="I123" s="131">
        <v>50</v>
      </c>
      <c r="J123" s="131"/>
      <c r="K123" s="131"/>
      <c r="L123" s="120">
        <f t="shared" si="3"/>
        <v>0</v>
      </c>
    </row>
    <row r="124" spans="1:12" ht="16" x14ac:dyDescent="0.2">
      <c r="A124" s="84">
        <v>122</v>
      </c>
      <c r="B124" s="84" t="s">
        <v>518</v>
      </c>
      <c r="C124" s="61">
        <v>83350</v>
      </c>
      <c r="D124" s="131">
        <v>400</v>
      </c>
      <c r="E124" s="131"/>
      <c r="F124" s="131"/>
      <c r="G124" s="131"/>
      <c r="H124" s="131">
        <v>200</v>
      </c>
      <c r="I124" s="131">
        <v>200</v>
      </c>
      <c r="J124" s="131"/>
      <c r="K124" s="131"/>
      <c r="L124" s="120">
        <f t="shared" si="3"/>
        <v>0</v>
      </c>
    </row>
    <row r="125" spans="1:12" ht="16" x14ac:dyDescent="0.2">
      <c r="A125" s="84">
        <v>123</v>
      </c>
      <c r="B125" s="84" t="s">
        <v>519</v>
      </c>
      <c r="C125" s="61">
        <v>83351</v>
      </c>
      <c r="D125" s="131">
        <v>8500</v>
      </c>
      <c r="E125" s="131">
        <v>8500</v>
      </c>
      <c r="F125" s="131"/>
      <c r="G125" s="131"/>
      <c r="H125" s="131"/>
      <c r="I125" s="131"/>
      <c r="J125" s="131"/>
      <c r="K125" s="131"/>
      <c r="L125" s="120">
        <f t="shared" si="3"/>
        <v>0</v>
      </c>
    </row>
    <row r="126" spans="1:12" ht="16" x14ac:dyDescent="0.2">
      <c r="A126" s="84">
        <v>124</v>
      </c>
      <c r="B126" s="84" t="s">
        <v>520</v>
      </c>
      <c r="C126" s="61">
        <v>83352</v>
      </c>
      <c r="D126" s="131">
        <v>100</v>
      </c>
      <c r="E126" s="131"/>
      <c r="F126" s="131">
        <v>100</v>
      </c>
      <c r="G126" s="131"/>
      <c r="H126" s="131"/>
      <c r="I126" s="131"/>
      <c r="J126" s="131"/>
      <c r="K126" s="131"/>
      <c r="L126" s="120">
        <f t="shared" si="3"/>
        <v>0</v>
      </c>
    </row>
    <row r="127" spans="1:12" ht="16" x14ac:dyDescent="0.2">
      <c r="A127" s="84">
        <v>125</v>
      </c>
      <c r="B127" s="84" t="s">
        <v>507</v>
      </c>
      <c r="C127" s="61">
        <v>83353</v>
      </c>
      <c r="D127" s="131">
        <v>300</v>
      </c>
      <c r="E127" s="131"/>
      <c r="F127" s="131">
        <v>300</v>
      </c>
      <c r="G127" s="131"/>
      <c r="H127" s="131"/>
      <c r="I127" s="131"/>
      <c r="J127" s="131"/>
      <c r="K127" s="131"/>
      <c r="L127" s="120">
        <f t="shared" si="3"/>
        <v>0</v>
      </c>
    </row>
    <row r="128" spans="1:12" ht="16" x14ac:dyDescent="0.2">
      <c r="A128" s="84">
        <v>126</v>
      </c>
      <c r="B128" s="84" t="s">
        <v>521</v>
      </c>
      <c r="C128" s="61">
        <v>83354</v>
      </c>
      <c r="D128" s="131">
        <v>200</v>
      </c>
      <c r="E128" s="131">
        <v>200</v>
      </c>
      <c r="F128" s="131"/>
      <c r="G128" s="131"/>
      <c r="H128" s="131"/>
      <c r="I128" s="131"/>
      <c r="J128" s="131"/>
      <c r="K128" s="131"/>
      <c r="L128" s="120">
        <f t="shared" si="3"/>
        <v>0</v>
      </c>
    </row>
    <row r="129" spans="1:12" ht="16" x14ac:dyDescent="0.2">
      <c r="A129" s="84">
        <v>127</v>
      </c>
      <c r="B129" s="84" t="s">
        <v>522</v>
      </c>
      <c r="C129" s="61">
        <v>83355</v>
      </c>
      <c r="D129" s="131">
        <v>49</v>
      </c>
      <c r="E129" s="131"/>
      <c r="F129" s="131">
        <v>49</v>
      </c>
      <c r="G129" s="131"/>
      <c r="H129" s="131"/>
      <c r="I129" s="131"/>
      <c r="J129" s="131"/>
      <c r="K129" s="131"/>
      <c r="L129" s="120">
        <f t="shared" si="3"/>
        <v>0</v>
      </c>
    </row>
    <row r="130" spans="1:12" ht="16" x14ac:dyDescent="0.2">
      <c r="A130" s="84">
        <v>128</v>
      </c>
      <c r="B130" s="84" t="s">
        <v>523</v>
      </c>
      <c r="C130" s="61">
        <v>83356</v>
      </c>
      <c r="D130" s="131">
        <v>150</v>
      </c>
      <c r="E130" s="131">
        <v>150</v>
      </c>
      <c r="F130" s="131"/>
      <c r="G130" s="131"/>
      <c r="H130" s="131"/>
      <c r="I130" s="131"/>
      <c r="J130" s="131"/>
      <c r="K130" s="131"/>
      <c r="L130" s="120">
        <f t="shared" si="3"/>
        <v>0</v>
      </c>
    </row>
    <row r="131" spans="1:12" ht="16" x14ac:dyDescent="0.2">
      <c r="A131" s="84">
        <v>129</v>
      </c>
      <c r="B131" s="84" t="s">
        <v>524</v>
      </c>
      <c r="C131" s="61">
        <v>83357</v>
      </c>
      <c r="D131" s="131">
        <v>50</v>
      </c>
      <c r="E131" s="131">
        <v>50</v>
      </c>
      <c r="F131" s="131"/>
      <c r="G131" s="131"/>
      <c r="H131" s="131"/>
      <c r="I131" s="131"/>
      <c r="J131" s="131"/>
      <c r="K131" s="131"/>
      <c r="L131" s="120">
        <f t="shared" ref="L131:L157" si="4">SUM(E131:K131)-D131</f>
        <v>0</v>
      </c>
    </row>
    <row r="132" spans="1:12" ht="16" x14ac:dyDescent="0.2">
      <c r="A132" s="84">
        <v>130</v>
      </c>
      <c r="B132" s="84" t="s">
        <v>525</v>
      </c>
      <c r="C132" s="61">
        <v>83358</v>
      </c>
      <c r="D132" s="131">
        <v>1200</v>
      </c>
      <c r="E132" s="131">
        <v>1200</v>
      </c>
      <c r="F132" s="131"/>
      <c r="G132" s="131"/>
      <c r="H132" s="131"/>
      <c r="I132" s="131"/>
      <c r="J132" s="131"/>
      <c r="K132" s="131"/>
      <c r="L132" s="120">
        <f t="shared" si="4"/>
        <v>0</v>
      </c>
    </row>
    <row r="133" spans="1:12" ht="16" x14ac:dyDescent="0.2">
      <c r="A133" s="84">
        <v>131</v>
      </c>
      <c r="B133" s="84" t="s">
        <v>526</v>
      </c>
      <c r="C133" s="61">
        <v>83359</v>
      </c>
      <c r="D133" s="131">
        <v>100</v>
      </c>
      <c r="E133" s="131">
        <v>100</v>
      </c>
      <c r="F133" s="131"/>
      <c r="G133" s="131"/>
      <c r="H133" s="131"/>
      <c r="I133" s="131"/>
      <c r="J133" s="131"/>
      <c r="K133" s="131"/>
      <c r="L133" s="120">
        <f t="shared" si="4"/>
        <v>0</v>
      </c>
    </row>
    <row r="134" spans="1:12" ht="16" x14ac:dyDescent="0.2">
      <c r="A134" s="84">
        <v>132</v>
      </c>
      <c r="B134" s="84" t="s">
        <v>527</v>
      </c>
      <c r="C134" s="61">
        <v>83360</v>
      </c>
      <c r="D134" s="131">
        <v>2380</v>
      </c>
      <c r="E134" s="131">
        <v>2380</v>
      </c>
      <c r="F134" s="131"/>
      <c r="G134" s="131"/>
      <c r="H134" s="131"/>
      <c r="I134" s="131"/>
      <c r="J134" s="131"/>
      <c r="K134" s="131"/>
      <c r="L134" s="120">
        <f t="shared" si="4"/>
        <v>0</v>
      </c>
    </row>
    <row r="135" spans="1:12" ht="16" x14ac:dyDescent="0.2">
      <c r="A135" s="84">
        <v>133</v>
      </c>
      <c r="B135" s="84" t="s">
        <v>528</v>
      </c>
      <c r="C135" s="61">
        <v>83361</v>
      </c>
      <c r="D135" s="131">
        <v>100</v>
      </c>
      <c r="E135" s="131">
        <v>100</v>
      </c>
      <c r="F135" s="131"/>
      <c r="G135" s="131"/>
      <c r="H135" s="131"/>
      <c r="I135" s="131"/>
      <c r="J135" s="131"/>
      <c r="K135" s="131"/>
      <c r="L135" s="120">
        <f t="shared" si="4"/>
        <v>0</v>
      </c>
    </row>
    <row r="136" spans="1:12" ht="16" x14ac:dyDescent="0.2">
      <c r="A136" s="84">
        <v>134</v>
      </c>
      <c r="B136" s="84" t="s">
        <v>529</v>
      </c>
      <c r="C136" s="61">
        <v>83362</v>
      </c>
      <c r="D136" s="131">
        <v>50</v>
      </c>
      <c r="E136" s="131"/>
      <c r="F136" s="131"/>
      <c r="G136" s="131"/>
      <c r="H136" s="131"/>
      <c r="I136" s="131">
        <v>50</v>
      </c>
      <c r="J136" s="131"/>
      <c r="K136" s="131"/>
      <c r="L136" s="120">
        <f t="shared" si="4"/>
        <v>0</v>
      </c>
    </row>
    <row r="137" spans="1:12" ht="16" x14ac:dyDescent="0.2">
      <c r="A137" s="84">
        <v>135</v>
      </c>
      <c r="B137" s="84" t="s">
        <v>530</v>
      </c>
      <c r="C137" s="61">
        <v>83363</v>
      </c>
      <c r="D137" s="131">
        <v>2500</v>
      </c>
      <c r="E137" s="131">
        <v>2500</v>
      </c>
      <c r="F137" s="131"/>
      <c r="G137" s="131"/>
      <c r="H137" s="131"/>
      <c r="I137" s="131"/>
      <c r="J137" s="131"/>
      <c r="K137" s="131"/>
      <c r="L137" s="120">
        <f t="shared" si="4"/>
        <v>0</v>
      </c>
    </row>
    <row r="138" spans="1:12" ht="16" x14ac:dyDescent="0.2">
      <c r="A138" s="84">
        <v>136</v>
      </c>
      <c r="B138" s="84" t="s">
        <v>531</v>
      </c>
      <c r="C138" s="61">
        <v>83364</v>
      </c>
      <c r="D138" s="131">
        <v>150</v>
      </c>
      <c r="E138" s="131"/>
      <c r="F138" s="131"/>
      <c r="G138" s="131"/>
      <c r="H138" s="131"/>
      <c r="I138" s="131"/>
      <c r="J138" s="131">
        <v>150</v>
      </c>
      <c r="K138" s="131"/>
      <c r="L138" s="120">
        <f t="shared" si="4"/>
        <v>0</v>
      </c>
    </row>
    <row r="139" spans="1:12" ht="16" x14ac:dyDescent="0.2">
      <c r="A139" s="84">
        <v>137</v>
      </c>
      <c r="B139" s="84" t="s">
        <v>532</v>
      </c>
      <c r="C139" s="61">
        <v>83365</v>
      </c>
      <c r="D139" s="131">
        <v>50</v>
      </c>
      <c r="E139" s="131">
        <v>50</v>
      </c>
      <c r="F139" s="131"/>
      <c r="G139" s="131"/>
      <c r="H139" s="131"/>
      <c r="I139" s="131"/>
      <c r="J139" s="131"/>
      <c r="K139" s="131"/>
      <c r="L139" s="120">
        <f t="shared" si="4"/>
        <v>0</v>
      </c>
    </row>
    <row r="140" spans="1:12" ht="16" x14ac:dyDescent="0.2">
      <c r="A140" s="84">
        <v>138</v>
      </c>
      <c r="B140" s="84" t="s">
        <v>533</v>
      </c>
      <c r="C140" s="61">
        <v>83366</v>
      </c>
      <c r="D140" s="131">
        <v>450</v>
      </c>
      <c r="E140" s="131">
        <v>450</v>
      </c>
      <c r="F140" s="131"/>
      <c r="G140" s="131"/>
      <c r="H140" s="131"/>
      <c r="I140" s="131"/>
      <c r="J140" s="131"/>
      <c r="K140" s="131"/>
      <c r="L140" s="120">
        <f t="shared" si="4"/>
        <v>0</v>
      </c>
    </row>
    <row r="141" spans="1:12" ht="16" x14ac:dyDescent="0.2">
      <c r="A141" s="84">
        <v>139</v>
      </c>
      <c r="B141" s="84" t="s">
        <v>534</v>
      </c>
      <c r="C141" s="61">
        <v>83367</v>
      </c>
      <c r="D141" s="131">
        <v>500</v>
      </c>
      <c r="E141" s="131"/>
      <c r="F141" s="131">
        <v>500</v>
      </c>
      <c r="G141" s="131"/>
      <c r="H141" s="131"/>
      <c r="I141" s="131"/>
      <c r="J141" s="131"/>
      <c r="K141" s="131"/>
      <c r="L141" s="120">
        <f t="shared" si="4"/>
        <v>0</v>
      </c>
    </row>
    <row r="142" spans="1:12" ht="16" x14ac:dyDescent="0.2">
      <c r="A142" s="84">
        <v>140</v>
      </c>
      <c r="B142" s="84" t="s">
        <v>535</v>
      </c>
      <c r="C142" s="61">
        <v>83368</v>
      </c>
      <c r="D142" s="131">
        <v>200</v>
      </c>
      <c r="E142" s="131">
        <v>200</v>
      </c>
      <c r="F142" s="131"/>
      <c r="G142" s="131"/>
      <c r="H142" s="131"/>
      <c r="I142" s="131"/>
      <c r="J142" s="131"/>
      <c r="K142" s="131"/>
      <c r="L142" s="120">
        <f t="shared" si="4"/>
        <v>0</v>
      </c>
    </row>
    <row r="143" spans="1:12" ht="16" x14ac:dyDescent="0.2">
      <c r="A143" s="84">
        <v>141</v>
      </c>
      <c r="B143" s="84" t="s">
        <v>536</v>
      </c>
      <c r="C143" s="61">
        <v>83369</v>
      </c>
      <c r="D143" s="131">
        <v>100</v>
      </c>
      <c r="E143" s="131">
        <v>100</v>
      </c>
      <c r="F143" s="131"/>
      <c r="G143" s="131"/>
      <c r="H143" s="131"/>
      <c r="I143" s="131"/>
      <c r="J143" s="131"/>
      <c r="K143" s="131"/>
      <c r="L143" s="120">
        <f t="shared" si="4"/>
        <v>0</v>
      </c>
    </row>
    <row r="144" spans="1:12" ht="16" x14ac:dyDescent="0.2">
      <c r="A144" s="84">
        <v>142</v>
      </c>
      <c r="B144" s="84" t="s">
        <v>537</v>
      </c>
      <c r="C144" s="61">
        <v>83370</v>
      </c>
      <c r="D144" s="131">
        <v>500</v>
      </c>
      <c r="E144" s="131"/>
      <c r="F144" s="131"/>
      <c r="G144" s="131"/>
      <c r="H144" s="131">
        <v>500</v>
      </c>
      <c r="I144" s="131"/>
      <c r="J144" s="131"/>
      <c r="K144" s="131"/>
      <c r="L144" s="120">
        <f t="shared" si="4"/>
        <v>0</v>
      </c>
    </row>
    <row r="145" spans="1:12" ht="16" x14ac:dyDescent="0.2">
      <c r="A145" s="84">
        <v>143</v>
      </c>
      <c r="B145" s="84" t="s">
        <v>538</v>
      </c>
      <c r="C145" s="61">
        <v>83371</v>
      </c>
      <c r="D145" s="131">
        <v>50</v>
      </c>
      <c r="E145" s="131">
        <v>50</v>
      </c>
      <c r="F145" s="131"/>
      <c r="G145" s="131"/>
      <c r="H145" s="131"/>
      <c r="I145" s="131"/>
      <c r="J145" s="131"/>
      <c r="K145" s="131"/>
      <c r="L145" s="120">
        <f t="shared" si="4"/>
        <v>0</v>
      </c>
    </row>
    <row r="146" spans="1:12" ht="16" x14ac:dyDescent="0.2">
      <c r="A146" s="84">
        <v>144</v>
      </c>
      <c r="B146" s="84" t="s">
        <v>539</v>
      </c>
      <c r="C146" s="61">
        <v>83372</v>
      </c>
      <c r="D146" s="131">
        <v>100</v>
      </c>
      <c r="E146" s="131">
        <v>100</v>
      </c>
      <c r="F146" s="131"/>
      <c r="G146" s="131"/>
      <c r="H146" s="131"/>
      <c r="I146" s="131"/>
      <c r="J146" s="131"/>
      <c r="K146" s="131"/>
      <c r="L146" s="120">
        <f t="shared" si="4"/>
        <v>0</v>
      </c>
    </row>
    <row r="147" spans="1:12" ht="16" x14ac:dyDescent="0.2">
      <c r="A147" s="84">
        <v>145</v>
      </c>
      <c r="B147" s="84" t="s">
        <v>540</v>
      </c>
      <c r="C147" s="61">
        <v>83373</v>
      </c>
      <c r="D147" s="131">
        <v>50</v>
      </c>
      <c r="E147" s="131"/>
      <c r="F147" s="131"/>
      <c r="G147" s="131"/>
      <c r="H147" s="131"/>
      <c r="I147" s="131"/>
      <c r="J147" s="131">
        <v>50</v>
      </c>
      <c r="K147" s="131"/>
      <c r="L147" s="120">
        <f t="shared" si="4"/>
        <v>0</v>
      </c>
    </row>
    <row r="148" spans="1:12" ht="16" x14ac:dyDescent="0.2">
      <c r="A148" s="84">
        <v>146</v>
      </c>
      <c r="B148" s="84" t="s">
        <v>541</v>
      </c>
      <c r="C148" s="61">
        <v>83374</v>
      </c>
      <c r="D148" s="131">
        <v>1000</v>
      </c>
      <c r="E148" s="131">
        <v>1000</v>
      </c>
      <c r="F148" s="131"/>
      <c r="G148" s="131"/>
      <c r="H148" s="131"/>
      <c r="I148" s="131"/>
      <c r="J148" s="131"/>
      <c r="K148" s="131"/>
      <c r="L148" s="120">
        <f t="shared" si="4"/>
        <v>0</v>
      </c>
    </row>
    <row r="149" spans="1:12" ht="16" x14ac:dyDescent="0.2">
      <c r="A149" s="84">
        <v>147</v>
      </c>
      <c r="B149" s="84" t="s">
        <v>542</v>
      </c>
      <c r="C149" s="61">
        <v>83375</v>
      </c>
      <c r="D149" s="131">
        <v>50</v>
      </c>
      <c r="E149" s="131">
        <v>50</v>
      </c>
      <c r="F149" s="131"/>
      <c r="G149" s="131"/>
      <c r="H149" s="131"/>
      <c r="I149" s="131"/>
      <c r="J149" s="131"/>
      <c r="K149" s="131"/>
      <c r="L149" s="120">
        <f t="shared" si="4"/>
        <v>0</v>
      </c>
    </row>
    <row r="150" spans="1:12" ht="16" x14ac:dyDescent="0.2">
      <c r="A150" s="84">
        <v>148</v>
      </c>
      <c r="B150" s="84" t="s">
        <v>543</v>
      </c>
      <c r="C150" s="61">
        <v>83376</v>
      </c>
      <c r="D150" s="131">
        <v>200</v>
      </c>
      <c r="E150" s="131">
        <v>200</v>
      </c>
      <c r="F150" s="131"/>
      <c r="G150" s="131"/>
      <c r="H150" s="131"/>
      <c r="I150" s="131"/>
      <c r="J150" s="131"/>
      <c r="K150" s="131"/>
      <c r="L150" s="120">
        <f t="shared" si="4"/>
        <v>0</v>
      </c>
    </row>
    <row r="151" spans="1:12" ht="16" x14ac:dyDescent="0.2">
      <c r="A151" s="84"/>
      <c r="B151" s="84"/>
      <c r="C151" s="61"/>
      <c r="D151" s="131"/>
      <c r="E151" s="131"/>
      <c r="F151" s="131"/>
      <c r="G151" s="131"/>
      <c r="H151" s="131"/>
      <c r="I151" s="131"/>
      <c r="J151" s="131"/>
      <c r="K151" s="131"/>
      <c r="L151" s="120">
        <f t="shared" si="4"/>
        <v>0</v>
      </c>
    </row>
    <row r="152" spans="1:12" ht="16" x14ac:dyDescent="0.2">
      <c r="A152" s="84"/>
      <c r="B152" s="84"/>
      <c r="C152" s="61"/>
      <c r="D152" s="131"/>
      <c r="E152" s="131"/>
      <c r="F152" s="131"/>
      <c r="G152" s="131"/>
      <c r="H152" s="131"/>
      <c r="I152" s="131"/>
      <c r="J152" s="131"/>
      <c r="K152" s="131"/>
      <c r="L152" s="120">
        <f t="shared" si="4"/>
        <v>0</v>
      </c>
    </row>
    <row r="153" spans="1:12" ht="16" x14ac:dyDescent="0.2">
      <c r="A153" s="84"/>
      <c r="B153" s="134"/>
      <c r="C153" s="61"/>
      <c r="D153" s="132"/>
      <c r="E153" s="132"/>
      <c r="F153" s="132"/>
      <c r="G153" s="132"/>
      <c r="H153" s="132"/>
      <c r="I153" s="132"/>
      <c r="J153" s="132"/>
      <c r="K153" s="132"/>
      <c r="L153" s="120">
        <f t="shared" si="4"/>
        <v>0</v>
      </c>
    </row>
    <row r="154" spans="1:12" ht="16" x14ac:dyDescent="0.2">
      <c r="A154" s="84"/>
      <c r="B154" s="108"/>
      <c r="C154" s="108"/>
      <c r="D154" s="109"/>
      <c r="E154" s="109"/>
      <c r="F154" s="109"/>
      <c r="G154" s="109"/>
      <c r="H154" s="109"/>
      <c r="I154" s="109"/>
      <c r="J154" s="109"/>
      <c r="K154" s="109"/>
      <c r="L154" s="120">
        <f t="shared" si="4"/>
        <v>0</v>
      </c>
    </row>
    <row r="155" spans="1:12" ht="16" x14ac:dyDescent="0.2">
      <c r="A155" s="84"/>
      <c r="B155" s="110" t="s">
        <v>3</v>
      </c>
      <c r="C155" s="111"/>
      <c r="D155" s="133">
        <f t="shared" ref="D155:K155" si="5">SUM(D3:D154)</f>
        <v>111132</v>
      </c>
      <c r="E155" s="112">
        <f t="shared" si="5"/>
        <v>70623</v>
      </c>
      <c r="F155" s="112">
        <f t="shared" si="5"/>
        <v>5669</v>
      </c>
      <c r="G155" s="112">
        <f t="shared" si="5"/>
        <v>385</v>
      </c>
      <c r="H155" s="112">
        <f t="shared" si="5"/>
        <v>23835</v>
      </c>
      <c r="I155" s="112">
        <f t="shared" si="5"/>
        <v>4570</v>
      </c>
      <c r="J155" s="112">
        <f t="shared" si="5"/>
        <v>5850</v>
      </c>
      <c r="K155" s="112">
        <f t="shared" si="5"/>
        <v>200</v>
      </c>
      <c r="L155" s="120">
        <f t="shared" si="4"/>
        <v>0</v>
      </c>
    </row>
    <row r="156" spans="1:12" ht="16" x14ac:dyDescent="0.2">
      <c r="A156" s="84"/>
      <c r="L156" s="120">
        <f t="shared" si="4"/>
        <v>0</v>
      </c>
    </row>
    <row r="157" spans="1:12" ht="16" x14ac:dyDescent="0.2">
      <c r="A157" s="84"/>
      <c r="I157" s="85"/>
      <c r="J157" s="85"/>
      <c r="K157" s="85"/>
      <c r="L157" s="120">
        <f t="shared" si="4"/>
        <v>0</v>
      </c>
    </row>
    <row r="158" spans="1:12" ht="16" x14ac:dyDescent="0.2">
      <c r="A158" s="84"/>
      <c r="B158" s="84" t="s">
        <v>130</v>
      </c>
      <c r="C158" s="84"/>
      <c r="D158" s="114">
        <f>D155-C166-C176</f>
        <v>0</v>
      </c>
      <c r="I158" s="85"/>
      <c r="J158" s="85"/>
      <c r="K158" s="85"/>
      <c r="L158" s="120">
        <v>0</v>
      </c>
    </row>
    <row r="159" spans="1:12" ht="16" x14ac:dyDescent="0.2">
      <c r="A159" s="84"/>
      <c r="B159" s="84" t="s">
        <v>131</v>
      </c>
      <c r="C159" s="84"/>
      <c r="I159" s="85"/>
      <c r="J159" s="85"/>
      <c r="K159" s="85"/>
      <c r="L159" s="120">
        <f t="shared" ref="L159:L167" si="6">SUM(E159:K159)-D159</f>
        <v>0</v>
      </c>
    </row>
    <row r="160" spans="1:12" ht="16" x14ac:dyDescent="0.2">
      <c r="A160" s="84"/>
      <c r="B160" s="84" t="s">
        <v>4</v>
      </c>
      <c r="C160" s="115">
        <f>E155</f>
        <v>70623</v>
      </c>
      <c r="I160" s="85"/>
      <c r="J160" s="85"/>
      <c r="K160" s="85"/>
      <c r="L160" s="120">
        <f t="shared" si="6"/>
        <v>0</v>
      </c>
    </row>
    <row r="161" spans="1:12" ht="16" x14ac:dyDescent="0.2">
      <c r="A161" s="84"/>
      <c r="B161" s="84" t="s">
        <v>132</v>
      </c>
      <c r="C161" s="116">
        <f>F155/2</f>
        <v>2834.5</v>
      </c>
      <c r="H161" s="113" t="s">
        <v>544</v>
      </c>
      <c r="I161" s="85"/>
      <c r="J161" s="85"/>
      <c r="K161" s="85"/>
      <c r="L161" s="120">
        <f t="shared" si="6"/>
        <v>0</v>
      </c>
    </row>
    <row r="162" spans="1:12" ht="16" x14ac:dyDescent="0.2">
      <c r="A162" s="84"/>
      <c r="B162" s="84" t="s">
        <v>133</v>
      </c>
      <c r="C162" s="115">
        <f>G155</f>
        <v>385</v>
      </c>
      <c r="I162" s="85"/>
      <c r="J162" s="85"/>
      <c r="K162" s="85"/>
      <c r="L162" s="120">
        <f t="shared" si="6"/>
        <v>0</v>
      </c>
    </row>
    <row r="163" spans="1:12" ht="16" x14ac:dyDescent="0.2">
      <c r="A163" s="84"/>
      <c r="B163" s="84" t="s">
        <v>6</v>
      </c>
      <c r="C163" s="116">
        <f>J155/2</f>
        <v>2925</v>
      </c>
      <c r="I163" s="85"/>
      <c r="J163" s="85"/>
      <c r="K163" s="85"/>
      <c r="L163" s="120">
        <f t="shared" si="6"/>
        <v>0</v>
      </c>
    </row>
    <row r="164" spans="1:12" ht="16" x14ac:dyDescent="0.2">
      <c r="A164" s="84"/>
      <c r="B164" s="84" t="s">
        <v>134</v>
      </c>
      <c r="C164" s="115">
        <v>0</v>
      </c>
      <c r="I164" s="85"/>
      <c r="J164" s="85"/>
      <c r="K164" s="85"/>
      <c r="L164" s="120">
        <f t="shared" si="6"/>
        <v>0</v>
      </c>
    </row>
    <row r="165" spans="1:12" ht="16" x14ac:dyDescent="0.2">
      <c r="A165" s="84"/>
      <c r="B165" s="84" t="s">
        <v>135</v>
      </c>
      <c r="C165" s="115"/>
      <c r="I165" s="85"/>
      <c r="J165" s="85"/>
      <c r="K165" s="85"/>
      <c r="L165" s="120">
        <f t="shared" si="6"/>
        <v>0</v>
      </c>
    </row>
    <row r="166" spans="1:12" ht="16" x14ac:dyDescent="0.2">
      <c r="A166" s="84"/>
      <c r="B166" s="84" t="s">
        <v>3</v>
      </c>
      <c r="C166" s="117">
        <f>SUM(C160:C165)</f>
        <v>76767.5</v>
      </c>
      <c r="I166" s="85"/>
      <c r="J166" s="85"/>
      <c r="K166" s="85"/>
      <c r="L166" s="120">
        <f t="shared" si="6"/>
        <v>0</v>
      </c>
    </row>
    <row r="167" spans="1:12" ht="16" x14ac:dyDescent="0.2">
      <c r="A167" s="84"/>
      <c r="B167" s="84"/>
      <c r="C167" s="84"/>
      <c r="I167" s="85"/>
      <c r="J167" s="85"/>
      <c r="K167" s="85"/>
      <c r="L167" s="120">
        <f t="shared" si="6"/>
        <v>0</v>
      </c>
    </row>
    <row r="168" spans="1:12" ht="16" x14ac:dyDescent="0.2">
      <c r="A168" s="84"/>
      <c r="B168" s="84" t="s">
        <v>136</v>
      </c>
      <c r="C168" s="84"/>
      <c r="I168" s="85"/>
      <c r="J168" s="85"/>
      <c r="K168" s="85"/>
    </row>
    <row r="169" spans="1:12" ht="16" x14ac:dyDescent="0.2">
      <c r="A169" s="84"/>
      <c r="B169" s="84" t="s">
        <v>132</v>
      </c>
      <c r="C169" s="116">
        <f>F155/2</f>
        <v>2834.5</v>
      </c>
      <c r="I169" s="85"/>
      <c r="J169" s="85"/>
      <c r="K169" s="85"/>
    </row>
    <row r="170" spans="1:12" ht="16" x14ac:dyDescent="0.2">
      <c r="A170" s="84"/>
      <c r="B170" s="84" t="s">
        <v>6</v>
      </c>
      <c r="C170" s="116">
        <f>J155/2</f>
        <v>2925</v>
      </c>
      <c r="I170" s="85"/>
      <c r="J170" s="85"/>
      <c r="K170" s="85"/>
      <c r="L170" s="85">
        <f>SUM(E154:K154)-D154</f>
        <v>0</v>
      </c>
    </row>
    <row r="171" spans="1:12" ht="16" x14ac:dyDescent="0.2">
      <c r="A171" s="84"/>
      <c r="B171" s="84" t="s">
        <v>138</v>
      </c>
      <c r="C171" s="115">
        <v>0</v>
      </c>
      <c r="I171" s="85"/>
      <c r="J171" s="85"/>
      <c r="K171" s="85"/>
      <c r="L171" s="85">
        <f>SUM(E155:K155)-D155</f>
        <v>0</v>
      </c>
    </row>
    <row r="172" spans="1:12" ht="16" x14ac:dyDescent="0.2">
      <c r="B172" s="84" t="s">
        <v>545</v>
      </c>
      <c r="C172" s="115">
        <f>H155</f>
        <v>23835</v>
      </c>
      <c r="I172" s="85"/>
      <c r="J172" s="85"/>
      <c r="K172" s="85"/>
    </row>
    <row r="173" spans="1:12" ht="15" customHeight="1" x14ac:dyDescent="0.2">
      <c r="B173" s="84" t="s">
        <v>141</v>
      </c>
      <c r="C173" s="115">
        <f>I155</f>
        <v>4570</v>
      </c>
      <c r="I173" s="85"/>
      <c r="J173" s="85"/>
      <c r="K173" s="85"/>
    </row>
    <row r="174" spans="1:12" ht="16" x14ac:dyDescent="0.2">
      <c r="B174" s="84" t="str">
        <f>K2</f>
        <v>PATHFINDER REG</v>
      </c>
      <c r="C174" s="115">
        <f>K155</f>
        <v>200</v>
      </c>
      <c r="I174" s="85"/>
      <c r="J174" s="85"/>
      <c r="K174" s="85"/>
    </row>
    <row r="175" spans="1:12" ht="16" x14ac:dyDescent="0.2">
      <c r="B175" s="84"/>
      <c r="C175" s="115"/>
      <c r="I175" s="85"/>
      <c r="J175" s="85"/>
      <c r="K175" s="85"/>
    </row>
    <row r="176" spans="1:12" ht="16" x14ac:dyDescent="0.2">
      <c r="B176" s="84" t="s">
        <v>3</v>
      </c>
      <c r="C176" s="118">
        <f>SUM(C169:C175)</f>
        <v>34364.5</v>
      </c>
      <c r="I176" s="85"/>
      <c r="J176" s="85"/>
      <c r="K176" s="85"/>
    </row>
    <row r="177" spans="9:11" ht="16" x14ac:dyDescent="0.2">
      <c r="I177" s="85"/>
      <c r="J177" s="85"/>
      <c r="K177" s="85"/>
    </row>
    <row r="178" spans="9:11" ht="16" x14ac:dyDescent="0.2">
      <c r="I178" s="85"/>
      <c r="J178" s="85"/>
      <c r="K178" s="85"/>
    </row>
    <row r="179" spans="9:11" ht="16" x14ac:dyDescent="0.2">
      <c r="I179" s="85"/>
      <c r="J179" s="85"/>
      <c r="K179" s="85"/>
    </row>
    <row r="180" spans="9:11" ht="16" x14ac:dyDescent="0.2">
      <c r="I180" s="85"/>
      <c r="J180" s="85"/>
      <c r="K180" s="85"/>
    </row>
    <row r="181" spans="9:11" ht="16" x14ac:dyDescent="0.2"/>
    <row r="182" spans="9:11" ht="16" x14ac:dyDescent="0.2"/>
    <row r="183" spans="9:11" ht="16" x14ac:dyDescent="0.2"/>
    <row r="184" spans="9:11" ht="16" x14ac:dyDescent="0.2"/>
    <row r="185" spans="9:11" ht="16" x14ac:dyDescent="0.2"/>
    <row r="186" spans="9:11" ht="16" x14ac:dyDescent="0.2"/>
    <row r="187" spans="9:11" ht="16" x14ac:dyDescent="0.2"/>
    <row r="188" spans="9:11" ht="16" x14ac:dyDescent="0.2"/>
    <row r="189" spans="9:11" ht="16" x14ac:dyDescent="0.2"/>
    <row r="190" spans="9:11" ht="16" x14ac:dyDescent="0.2"/>
    <row r="191" spans="9:11" ht="16" x14ac:dyDescent="0.2"/>
    <row r="192" spans="9:11" ht="16" x14ac:dyDescent="0.2"/>
  </sheetData>
  <pageMargins left="0.7" right="0.7" top="0.75" bottom="0.75" header="0.3" footer="0.3"/>
  <pageSetup paperSize="9" scale="50" fitToHeight="77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7"/>
  <sheetViews>
    <sheetView tabSelected="1" zoomScale="90" zoomScaleNormal="90" workbookViewId="0">
      <pane ySplit="2" topLeftCell="A143" activePane="bottomLeft" state="frozen"/>
      <selection pane="bottomLeft" activeCell="E171" sqref="E171"/>
    </sheetView>
  </sheetViews>
  <sheetFormatPr baseColWidth="10" defaultColWidth="8.6640625" defaultRowHeight="15" customHeight="1" x14ac:dyDescent="0.2"/>
  <cols>
    <col min="1" max="1" width="6.33203125" style="85" bestFit="1" customWidth="1"/>
    <col min="2" max="2" width="56.33203125" style="85" bestFit="1" customWidth="1"/>
    <col min="3" max="3" width="17" style="120" customWidth="1"/>
    <col min="4" max="4" width="12.6640625" style="87" customWidth="1"/>
    <col min="5" max="5" width="10.33203125" style="87" customWidth="1"/>
    <col min="6" max="6" width="23.5" style="87" customWidth="1"/>
    <col min="7" max="8" width="11.6640625" style="87" customWidth="1"/>
    <col min="9" max="9" width="11.5" style="87" customWidth="1"/>
    <col min="10" max="10" width="14.1640625" style="87" customWidth="1"/>
    <col min="11" max="11" width="11" style="87" customWidth="1"/>
    <col min="12" max="12" width="14.5" style="87" customWidth="1"/>
    <col min="13" max="16384" width="8.6640625" style="85"/>
  </cols>
  <sheetData>
    <row r="1" spans="1:13" ht="16" customHeight="1" x14ac:dyDescent="0.2">
      <c r="A1" s="147" t="s">
        <v>546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13" s="91" customFormat="1" ht="68" x14ac:dyDescent="0.2">
      <c r="A2" s="90" t="s">
        <v>392</v>
      </c>
      <c r="B2" s="90" t="s">
        <v>393</v>
      </c>
      <c r="C2" s="90" t="s">
        <v>394</v>
      </c>
      <c r="D2" s="105" t="s">
        <v>547</v>
      </c>
      <c r="E2" s="105" t="s">
        <v>4</v>
      </c>
      <c r="F2" s="105" t="s">
        <v>395</v>
      </c>
      <c r="G2" s="105" t="s">
        <v>396</v>
      </c>
      <c r="H2" s="105" t="s">
        <v>397</v>
      </c>
      <c r="I2" s="47" t="s">
        <v>675</v>
      </c>
      <c r="J2" s="105" t="s">
        <v>398</v>
      </c>
      <c r="K2" s="105" t="s">
        <v>15</v>
      </c>
      <c r="L2" s="105" t="s">
        <v>548</v>
      </c>
      <c r="M2" s="85"/>
    </row>
    <row r="3" spans="1:13" ht="16" x14ac:dyDescent="0.2">
      <c r="A3" s="142">
        <v>1</v>
      </c>
      <c r="B3" s="142" t="s">
        <v>549</v>
      </c>
      <c r="C3" s="143">
        <v>262249</v>
      </c>
      <c r="D3" s="83">
        <v>100</v>
      </c>
      <c r="E3" s="83"/>
      <c r="F3" s="83">
        <v>100</v>
      </c>
      <c r="G3" s="83"/>
      <c r="H3" s="83"/>
      <c r="I3" s="83"/>
      <c r="J3" s="83"/>
      <c r="K3" s="83"/>
      <c r="L3" s="83"/>
      <c r="M3" s="120"/>
    </row>
    <row r="4" spans="1:13" ht="16" x14ac:dyDescent="0.2">
      <c r="A4" s="142">
        <v>2</v>
      </c>
      <c r="B4" s="84" t="s">
        <v>550</v>
      </c>
      <c r="C4" s="143">
        <v>262250</v>
      </c>
      <c r="D4" s="83">
        <v>100</v>
      </c>
      <c r="E4" s="83">
        <v>30</v>
      </c>
      <c r="F4" s="83">
        <v>30</v>
      </c>
      <c r="G4" s="83"/>
      <c r="H4" s="83">
        <v>40</v>
      </c>
      <c r="I4" s="83"/>
      <c r="J4" s="83"/>
      <c r="K4" s="83"/>
      <c r="L4" s="83"/>
      <c r="M4" s="120"/>
    </row>
    <row r="5" spans="1:13" ht="16" x14ac:dyDescent="0.2">
      <c r="A5" s="142">
        <v>3</v>
      </c>
      <c r="B5" s="84" t="s">
        <v>551</v>
      </c>
      <c r="C5" s="143">
        <v>262251</v>
      </c>
      <c r="D5" s="83">
        <v>100</v>
      </c>
      <c r="E5" s="83">
        <v>50</v>
      </c>
      <c r="F5" s="83"/>
      <c r="G5" s="83"/>
      <c r="H5" s="83"/>
      <c r="I5" s="83">
        <v>50</v>
      </c>
      <c r="J5" s="83"/>
      <c r="K5" s="83"/>
      <c r="L5" s="83"/>
      <c r="M5" s="120"/>
    </row>
    <row r="6" spans="1:13" ht="16" x14ac:dyDescent="0.2">
      <c r="A6" s="142">
        <v>4</v>
      </c>
      <c r="B6" s="84" t="s">
        <v>552</v>
      </c>
      <c r="C6" s="143">
        <v>262252</v>
      </c>
      <c r="D6" s="84">
        <v>200</v>
      </c>
      <c r="E6" s="84">
        <v>100</v>
      </c>
      <c r="F6" s="84">
        <v>50</v>
      </c>
      <c r="G6" s="83">
        <v>50</v>
      </c>
      <c r="H6" s="83"/>
      <c r="I6" s="84"/>
      <c r="J6" s="83"/>
      <c r="K6" s="83"/>
      <c r="L6" s="83"/>
      <c r="M6" s="120"/>
    </row>
    <row r="7" spans="1:13" ht="16" x14ac:dyDescent="0.2">
      <c r="A7" s="142">
        <v>5</v>
      </c>
      <c r="B7" s="84" t="s">
        <v>553</v>
      </c>
      <c r="C7" s="143">
        <v>262253</v>
      </c>
      <c r="D7" s="84">
        <v>1000</v>
      </c>
      <c r="E7" s="84">
        <v>500</v>
      </c>
      <c r="F7" s="84">
        <v>500</v>
      </c>
      <c r="G7" s="86"/>
      <c r="H7" s="86"/>
      <c r="I7" s="84"/>
      <c r="J7" s="86"/>
      <c r="K7" s="83"/>
      <c r="L7" s="83"/>
      <c r="M7" s="120"/>
    </row>
    <row r="8" spans="1:13" ht="16" x14ac:dyDescent="0.2">
      <c r="A8" s="142">
        <v>6</v>
      </c>
      <c r="B8" s="84" t="s">
        <v>554</v>
      </c>
      <c r="C8" s="143">
        <v>262254</v>
      </c>
      <c r="D8" s="84">
        <v>100</v>
      </c>
      <c r="E8" s="84"/>
      <c r="F8" s="84">
        <v>100</v>
      </c>
      <c r="G8" s="83"/>
      <c r="H8" s="83"/>
      <c r="I8" s="84"/>
      <c r="J8" s="83"/>
      <c r="K8" s="83"/>
      <c r="L8" s="83"/>
      <c r="M8" s="120"/>
    </row>
    <row r="9" spans="1:13" ht="16" x14ac:dyDescent="0.2">
      <c r="A9" s="142">
        <v>7</v>
      </c>
      <c r="B9" s="84" t="s">
        <v>555</v>
      </c>
      <c r="C9" s="143">
        <v>262255</v>
      </c>
      <c r="D9" s="84">
        <v>300</v>
      </c>
      <c r="E9" s="84"/>
      <c r="F9" s="84">
        <v>100</v>
      </c>
      <c r="G9" s="83"/>
      <c r="H9" s="83"/>
      <c r="I9" s="84">
        <v>200</v>
      </c>
      <c r="J9" s="83"/>
      <c r="K9" s="83"/>
      <c r="L9" s="83"/>
      <c r="M9" s="120"/>
    </row>
    <row r="10" spans="1:13" ht="16" x14ac:dyDescent="0.2">
      <c r="A10" s="142">
        <v>8</v>
      </c>
      <c r="B10" s="84" t="s">
        <v>556</v>
      </c>
      <c r="C10" s="143">
        <v>262256</v>
      </c>
      <c r="D10" s="84">
        <v>100</v>
      </c>
      <c r="E10" s="84"/>
      <c r="F10" s="84">
        <v>100</v>
      </c>
      <c r="G10" s="83"/>
      <c r="H10" s="83"/>
      <c r="I10" s="84"/>
      <c r="J10" s="83"/>
      <c r="K10" s="83"/>
      <c r="L10" s="83"/>
      <c r="M10" s="120"/>
    </row>
    <row r="11" spans="1:13" ht="16" x14ac:dyDescent="0.2">
      <c r="A11" s="142">
        <v>9</v>
      </c>
      <c r="B11" s="84" t="s">
        <v>557</v>
      </c>
      <c r="C11" s="143">
        <v>262257</v>
      </c>
      <c r="D11" s="84">
        <v>100</v>
      </c>
      <c r="E11" s="84"/>
      <c r="F11" s="84">
        <v>100</v>
      </c>
      <c r="G11" s="83"/>
      <c r="H11" s="83"/>
      <c r="I11" s="84"/>
      <c r="J11" s="83"/>
      <c r="K11" s="83"/>
      <c r="L11" s="83"/>
      <c r="M11" s="120"/>
    </row>
    <row r="12" spans="1:13" ht="16" x14ac:dyDescent="0.2">
      <c r="A12" s="142">
        <v>10</v>
      </c>
      <c r="B12" s="84" t="s">
        <v>558</v>
      </c>
      <c r="C12" s="143">
        <v>262258</v>
      </c>
      <c r="D12" s="84">
        <v>200</v>
      </c>
      <c r="E12" s="84"/>
      <c r="F12" s="84"/>
      <c r="G12" s="83"/>
      <c r="H12" s="83"/>
      <c r="I12" s="84">
        <v>200</v>
      </c>
      <c r="J12" s="83"/>
      <c r="K12" s="83"/>
      <c r="L12" s="83"/>
      <c r="M12" s="120"/>
    </row>
    <row r="13" spans="1:13" ht="16" x14ac:dyDescent="0.2">
      <c r="A13" s="142">
        <v>11</v>
      </c>
      <c r="B13" s="84" t="s">
        <v>559</v>
      </c>
      <c r="C13" s="143">
        <v>262259</v>
      </c>
      <c r="D13" s="84">
        <v>50</v>
      </c>
      <c r="E13" s="84"/>
      <c r="F13" s="84">
        <v>50</v>
      </c>
      <c r="G13" s="83"/>
      <c r="H13" s="83"/>
      <c r="I13" s="84"/>
      <c r="J13" s="83"/>
      <c r="K13" s="83"/>
      <c r="L13" s="83"/>
      <c r="M13" s="120"/>
    </row>
    <row r="14" spans="1:13" ht="16" x14ac:dyDescent="0.2">
      <c r="A14" s="142">
        <v>12</v>
      </c>
      <c r="B14" s="84" t="s">
        <v>560</v>
      </c>
      <c r="C14" s="143">
        <v>262260</v>
      </c>
      <c r="D14" s="84">
        <v>50</v>
      </c>
      <c r="E14" s="84">
        <v>20</v>
      </c>
      <c r="F14" s="84">
        <v>20</v>
      </c>
      <c r="G14" s="83">
        <v>10</v>
      </c>
      <c r="H14" s="83"/>
      <c r="I14" s="84"/>
      <c r="J14" s="83"/>
      <c r="K14" s="83"/>
      <c r="L14" s="83"/>
      <c r="M14" s="120"/>
    </row>
    <row r="15" spans="1:13" ht="16" x14ac:dyDescent="0.2">
      <c r="A15" s="142">
        <v>13</v>
      </c>
      <c r="B15" s="84" t="s">
        <v>561</v>
      </c>
      <c r="C15" s="143">
        <v>262261</v>
      </c>
      <c r="D15" s="84">
        <v>100</v>
      </c>
      <c r="E15" s="84">
        <v>100</v>
      </c>
      <c r="F15" s="84"/>
      <c r="G15" s="83"/>
      <c r="H15" s="83"/>
      <c r="I15" s="84"/>
      <c r="J15" s="83"/>
      <c r="K15" s="83"/>
      <c r="L15" s="83"/>
      <c r="M15" s="120"/>
    </row>
    <row r="16" spans="1:13" ht="16" x14ac:dyDescent="0.2">
      <c r="A16" s="142">
        <v>14</v>
      </c>
      <c r="B16" s="84" t="s">
        <v>443</v>
      </c>
      <c r="C16" s="143">
        <v>262262</v>
      </c>
      <c r="D16" s="84">
        <v>100</v>
      </c>
      <c r="E16" s="84">
        <v>100</v>
      </c>
      <c r="F16" s="84"/>
      <c r="G16" s="83"/>
      <c r="H16" s="83"/>
      <c r="I16" s="84"/>
      <c r="J16" s="83"/>
      <c r="K16" s="83"/>
      <c r="L16" s="83"/>
      <c r="M16" s="120"/>
    </row>
    <row r="17" spans="1:13" ht="16" x14ac:dyDescent="0.2">
      <c r="A17" s="142">
        <v>15</v>
      </c>
      <c r="B17" s="84" t="s">
        <v>562</v>
      </c>
      <c r="C17" s="143">
        <v>262263</v>
      </c>
      <c r="D17" s="84">
        <v>200</v>
      </c>
      <c r="E17" s="84"/>
      <c r="F17" s="84"/>
      <c r="G17" s="83"/>
      <c r="H17" s="83"/>
      <c r="I17" s="84">
        <v>200</v>
      </c>
      <c r="J17" s="83"/>
      <c r="K17" s="83"/>
      <c r="L17" s="83"/>
      <c r="M17" s="120"/>
    </row>
    <row r="18" spans="1:13" ht="16" x14ac:dyDescent="0.2">
      <c r="A18" s="142">
        <v>16</v>
      </c>
      <c r="B18" s="84" t="s">
        <v>416</v>
      </c>
      <c r="C18" s="143">
        <v>262264</v>
      </c>
      <c r="D18" s="107">
        <v>50</v>
      </c>
      <c r="E18" s="107">
        <v>50</v>
      </c>
      <c r="F18" s="107"/>
      <c r="G18" s="140"/>
      <c r="H18" s="140"/>
      <c r="I18" s="107"/>
      <c r="J18" s="83"/>
      <c r="K18" s="83"/>
      <c r="L18" s="83"/>
      <c r="M18" s="120"/>
    </row>
    <row r="19" spans="1:13" ht="16" x14ac:dyDescent="0.2">
      <c r="A19" s="142">
        <v>17</v>
      </c>
      <c r="B19" s="84" t="s">
        <v>563</v>
      </c>
      <c r="C19" s="145">
        <v>262265</v>
      </c>
      <c r="D19" s="139">
        <v>200</v>
      </c>
      <c r="E19" s="139"/>
      <c r="F19" s="139">
        <v>100</v>
      </c>
      <c r="G19" s="138">
        <v>50</v>
      </c>
      <c r="H19" s="138"/>
      <c r="I19" s="139">
        <v>50</v>
      </c>
      <c r="J19" s="146"/>
      <c r="K19" s="83"/>
      <c r="L19" s="83"/>
      <c r="M19" s="120"/>
    </row>
    <row r="20" spans="1:13" ht="16" x14ac:dyDescent="0.2">
      <c r="A20" s="142">
        <v>18</v>
      </c>
      <c r="B20" s="85" t="s">
        <v>564</v>
      </c>
      <c r="C20" s="145">
        <v>262266</v>
      </c>
      <c r="D20" s="144">
        <v>150</v>
      </c>
      <c r="E20" s="144">
        <v>100</v>
      </c>
      <c r="F20" s="144"/>
      <c r="G20" s="144">
        <v>30</v>
      </c>
      <c r="H20" s="144">
        <v>20</v>
      </c>
      <c r="I20" s="144"/>
      <c r="J20" s="146"/>
      <c r="K20" s="83"/>
      <c r="L20" s="83"/>
      <c r="M20" s="120"/>
    </row>
    <row r="21" spans="1:13" ht="16" x14ac:dyDescent="0.2">
      <c r="A21" s="142">
        <v>19</v>
      </c>
      <c r="B21" s="84" t="s">
        <v>565</v>
      </c>
      <c r="C21" s="145">
        <v>262267</v>
      </c>
      <c r="D21" s="139">
        <v>500</v>
      </c>
      <c r="E21" s="139">
        <v>100</v>
      </c>
      <c r="F21" s="139">
        <v>100</v>
      </c>
      <c r="G21" s="138">
        <v>100</v>
      </c>
      <c r="H21" s="138">
        <v>200</v>
      </c>
      <c r="I21" s="139"/>
      <c r="J21" s="146"/>
      <c r="K21" s="83"/>
      <c r="L21" s="83"/>
      <c r="M21" s="120"/>
    </row>
    <row r="22" spans="1:13" ht="16" x14ac:dyDescent="0.2">
      <c r="A22" s="142">
        <v>20</v>
      </c>
      <c r="B22" s="84" t="s">
        <v>566</v>
      </c>
      <c r="C22" s="145">
        <v>262268</v>
      </c>
      <c r="D22" s="139">
        <v>200</v>
      </c>
      <c r="E22" s="139">
        <v>200</v>
      </c>
      <c r="F22" s="139"/>
      <c r="G22" s="138"/>
      <c r="H22" s="138"/>
      <c r="I22" s="139"/>
      <c r="J22" s="146"/>
      <c r="K22" s="83"/>
      <c r="L22" s="83"/>
      <c r="M22" s="120"/>
    </row>
    <row r="23" spans="1:13" ht="16" x14ac:dyDescent="0.2">
      <c r="A23" s="142">
        <v>21</v>
      </c>
      <c r="B23" s="84" t="s">
        <v>567</v>
      </c>
      <c r="C23" s="143">
        <v>262269</v>
      </c>
      <c r="D23" s="110">
        <v>1300</v>
      </c>
      <c r="E23" s="110"/>
      <c r="F23" s="110"/>
      <c r="G23" s="141">
        <v>300</v>
      </c>
      <c r="H23" s="141"/>
      <c r="I23" s="110">
        <v>1000</v>
      </c>
      <c r="J23" s="83"/>
      <c r="K23" s="83"/>
      <c r="L23" s="83"/>
      <c r="M23" s="120"/>
    </row>
    <row r="24" spans="1:13" ht="16" x14ac:dyDescent="0.2">
      <c r="A24" s="142">
        <v>22</v>
      </c>
      <c r="B24" s="84" t="s">
        <v>425</v>
      </c>
      <c r="C24" s="143">
        <v>262270</v>
      </c>
      <c r="D24" s="84">
        <v>38500</v>
      </c>
      <c r="E24" s="84">
        <v>38500</v>
      </c>
      <c r="F24" s="84"/>
      <c r="G24" s="83"/>
      <c r="H24" s="83"/>
      <c r="I24" s="84"/>
      <c r="J24" s="83"/>
      <c r="K24" s="83"/>
      <c r="L24" s="83"/>
      <c r="M24" s="120"/>
    </row>
    <row r="25" spans="1:13" ht="16" x14ac:dyDescent="0.2">
      <c r="A25" s="142">
        <v>23</v>
      </c>
      <c r="B25" s="84" t="s">
        <v>568</v>
      </c>
      <c r="C25" s="143">
        <v>262271</v>
      </c>
      <c r="D25" s="84">
        <v>400</v>
      </c>
      <c r="E25" s="84">
        <v>300</v>
      </c>
      <c r="F25" s="84"/>
      <c r="G25" s="83"/>
      <c r="H25" s="83">
        <v>100</v>
      </c>
      <c r="I25" s="84"/>
      <c r="J25" s="83"/>
      <c r="K25" s="83"/>
      <c r="L25" s="83"/>
      <c r="M25" s="120"/>
    </row>
    <row r="26" spans="1:13" ht="16" x14ac:dyDescent="0.2">
      <c r="A26" s="142">
        <v>24</v>
      </c>
      <c r="B26" s="84" t="s">
        <v>436</v>
      </c>
      <c r="C26" s="143">
        <v>262272</v>
      </c>
      <c r="D26" s="84">
        <v>200</v>
      </c>
      <c r="E26" s="84"/>
      <c r="F26" s="84"/>
      <c r="G26" s="83"/>
      <c r="H26" s="83"/>
      <c r="I26" s="84">
        <v>200</v>
      </c>
      <c r="J26" s="83"/>
      <c r="K26" s="83"/>
      <c r="L26" s="83"/>
      <c r="M26" s="120"/>
    </row>
    <row r="27" spans="1:13" ht="16" x14ac:dyDescent="0.2">
      <c r="A27" s="142">
        <v>25</v>
      </c>
      <c r="B27" s="84" t="s">
        <v>569</v>
      </c>
      <c r="C27" s="143">
        <v>262273</v>
      </c>
      <c r="D27" s="83">
        <v>100</v>
      </c>
      <c r="E27" s="83"/>
      <c r="F27" s="83"/>
      <c r="G27" s="83"/>
      <c r="H27" s="83">
        <v>100</v>
      </c>
      <c r="I27" s="83"/>
      <c r="J27" s="83"/>
      <c r="K27" s="83"/>
      <c r="L27" s="83"/>
      <c r="M27" s="120"/>
    </row>
    <row r="28" spans="1:13" ht="16" x14ac:dyDescent="0.2">
      <c r="A28" s="142">
        <v>26</v>
      </c>
      <c r="B28" s="84" t="s">
        <v>570</v>
      </c>
      <c r="C28" s="143">
        <v>262274</v>
      </c>
      <c r="D28" s="83">
        <v>100</v>
      </c>
      <c r="E28" s="83"/>
      <c r="F28" s="83">
        <v>50</v>
      </c>
      <c r="G28" s="83">
        <v>50</v>
      </c>
      <c r="H28" s="83"/>
      <c r="I28" s="83"/>
      <c r="J28" s="83"/>
      <c r="K28" s="83"/>
      <c r="L28" s="83"/>
      <c r="M28" s="120"/>
    </row>
    <row r="29" spans="1:13" ht="16" x14ac:dyDescent="0.2">
      <c r="A29" s="142">
        <v>27</v>
      </c>
      <c r="B29" s="84" t="s">
        <v>427</v>
      </c>
      <c r="C29" s="143">
        <v>262275</v>
      </c>
      <c r="D29" s="83">
        <v>1000</v>
      </c>
      <c r="E29" s="83"/>
      <c r="F29" s="83"/>
      <c r="G29" s="83"/>
      <c r="H29" s="83">
        <v>1000</v>
      </c>
      <c r="I29" s="83"/>
      <c r="J29" s="83"/>
      <c r="K29" s="83"/>
      <c r="L29" s="83"/>
      <c r="M29" s="120"/>
    </row>
    <row r="30" spans="1:13" ht="16" x14ac:dyDescent="0.2">
      <c r="A30" s="142">
        <v>28</v>
      </c>
      <c r="B30" s="84" t="s">
        <v>426</v>
      </c>
      <c r="C30" s="143">
        <v>262276</v>
      </c>
      <c r="D30" s="83">
        <v>1000</v>
      </c>
      <c r="E30" s="83"/>
      <c r="F30" s="83">
        <v>1000</v>
      </c>
      <c r="G30" s="83"/>
      <c r="H30" s="83"/>
      <c r="I30" s="83"/>
      <c r="J30" s="83"/>
      <c r="K30" s="83"/>
      <c r="L30" s="83"/>
      <c r="M30" s="120"/>
    </row>
    <row r="31" spans="1:13" ht="16" x14ac:dyDescent="0.2">
      <c r="A31" s="142">
        <v>29</v>
      </c>
      <c r="B31" s="84" t="s">
        <v>507</v>
      </c>
      <c r="C31" s="143">
        <v>262277</v>
      </c>
      <c r="D31" s="83">
        <v>300</v>
      </c>
      <c r="E31" s="83"/>
      <c r="F31" s="83"/>
      <c r="G31" s="83"/>
      <c r="H31" s="83"/>
      <c r="I31" s="83">
        <v>300</v>
      </c>
      <c r="J31" s="83"/>
      <c r="K31" s="83"/>
      <c r="L31" s="83"/>
      <c r="M31" s="120"/>
    </row>
    <row r="32" spans="1:13" ht="16" x14ac:dyDescent="0.2">
      <c r="A32" s="142">
        <v>30</v>
      </c>
      <c r="B32" s="84" t="s">
        <v>494</v>
      </c>
      <c r="C32" s="143">
        <v>262278</v>
      </c>
      <c r="D32" s="83">
        <v>100</v>
      </c>
      <c r="E32" s="83">
        <v>100</v>
      </c>
      <c r="F32" s="83"/>
      <c r="G32" s="83"/>
      <c r="H32" s="83"/>
      <c r="I32" s="83"/>
      <c r="J32" s="83"/>
      <c r="K32" s="83"/>
      <c r="L32" s="83"/>
      <c r="M32" s="120"/>
    </row>
    <row r="33" spans="1:13" ht="16" x14ac:dyDescent="0.2">
      <c r="A33" s="142">
        <v>31</v>
      </c>
      <c r="B33" s="84" t="s">
        <v>571</v>
      </c>
      <c r="C33" s="143">
        <v>262279</v>
      </c>
      <c r="D33" s="83">
        <v>500</v>
      </c>
      <c r="E33" s="83">
        <v>500</v>
      </c>
      <c r="F33" s="83"/>
      <c r="G33" s="83"/>
      <c r="H33" s="83"/>
      <c r="I33" s="83"/>
      <c r="J33" s="83"/>
      <c r="K33" s="83"/>
      <c r="L33" s="83"/>
      <c r="M33" s="120"/>
    </row>
    <row r="34" spans="1:13" ht="16" x14ac:dyDescent="0.2">
      <c r="A34" s="142">
        <v>32</v>
      </c>
      <c r="B34" s="84" t="s">
        <v>572</v>
      </c>
      <c r="C34" s="143">
        <v>262280</v>
      </c>
      <c r="D34" s="83">
        <v>1000</v>
      </c>
      <c r="E34" s="83">
        <v>700</v>
      </c>
      <c r="F34" s="83"/>
      <c r="G34" s="83"/>
      <c r="H34" s="83"/>
      <c r="I34" s="83">
        <v>300</v>
      </c>
      <c r="J34" s="83"/>
      <c r="K34" s="83"/>
      <c r="L34" s="83"/>
      <c r="M34" s="120"/>
    </row>
    <row r="35" spans="1:13" ht="16" x14ac:dyDescent="0.2">
      <c r="A35" s="142">
        <v>33</v>
      </c>
      <c r="B35" s="84" t="s">
        <v>573</v>
      </c>
      <c r="C35" s="143">
        <v>262281</v>
      </c>
      <c r="D35" s="83">
        <v>200</v>
      </c>
      <c r="E35" s="83">
        <v>200</v>
      </c>
      <c r="F35" s="83"/>
      <c r="G35" s="83"/>
      <c r="H35" s="83"/>
      <c r="I35" s="83"/>
      <c r="J35" s="83"/>
      <c r="K35" s="83"/>
      <c r="L35" s="83"/>
      <c r="M35" s="120"/>
    </row>
    <row r="36" spans="1:13" ht="16" x14ac:dyDescent="0.2">
      <c r="A36" s="142">
        <v>34</v>
      </c>
      <c r="B36" s="84" t="s">
        <v>574</v>
      </c>
      <c r="C36" s="143">
        <v>262282</v>
      </c>
      <c r="D36" s="83">
        <v>50</v>
      </c>
      <c r="E36" s="83">
        <v>50</v>
      </c>
      <c r="F36" s="83"/>
      <c r="G36" s="83"/>
      <c r="H36" s="83"/>
      <c r="I36" s="83"/>
      <c r="J36" s="83"/>
      <c r="K36" s="83"/>
      <c r="L36" s="83"/>
      <c r="M36" s="120"/>
    </row>
    <row r="37" spans="1:13" ht="16" x14ac:dyDescent="0.2">
      <c r="A37" s="142">
        <v>35</v>
      </c>
      <c r="B37" s="84" t="s">
        <v>575</v>
      </c>
      <c r="C37" s="143">
        <v>262283</v>
      </c>
      <c r="D37" s="83">
        <v>100</v>
      </c>
      <c r="E37" s="83">
        <v>100</v>
      </c>
      <c r="F37" s="83"/>
      <c r="G37" s="83"/>
      <c r="H37" s="83"/>
      <c r="I37" s="83"/>
      <c r="J37" s="83"/>
      <c r="K37" s="83"/>
      <c r="L37" s="83"/>
      <c r="M37" s="120"/>
    </row>
    <row r="38" spans="1:13" ht="16" x14ac:dyDescent="0.2">
      <c r="A38" s="142">
        <v>36</v>
      </c>
      <c r="B38" s="84" t="s">
        <v>576</v>
      </c>
      <c r="C38" s="143">
        <v>262284</v>
      </c>
      <c r="D38" s="83">
        <v>50</v>
      </c>
      <c r="E38" s="83"/>
      <c r="F38" s="83"/>
      <c r="G38" s="83"/>
      <c r="H38" s="83"/>
      <c r="I38" s="83">
        <v>50</v>
      </c>
      <c r="J38" s="83"/>
      <c r="K38" s="83"/>
      <c r="L38" s="83"/>
      <c r="M38" s="120"/>
    </row>
    <row r="39" spans="1:13" ht="16" x14ac:dyDescent="0.2">
      <c r="A39" s="142">
        <v>37</v>
      </c>
      <c r="B39" s="84" t="s">
        <v>577</v>
      </c>
      <c r="C39" s="143">
        <v>262285</v>
      </c>
      <c r="D39" s="83">
        <v>100</v>
      </c>
      <c r="E39" s="83"/>
      <c r="F39" s="83">
        <v>100</v>
      </c>
      <c r="G39" s="83"/>
      <c r="H39" s="83"/>
      <c r="I39" s="83"/>
      <c r="J39" s="83"/>
      <c r="K39" s="83"/>
      <c r="L39" s="83"/>
      <c r="M39" s="120"/>
    </row>
    <row r="40" spans="1:13" ht="16" x14ac:dyDescent="0.2">
      <c r="A40" s="142">
        <v>38</v>
      </c>
      <c r="B40" s="84" t="s">
        <v>578</v>
      </c>
      <c r="C40" s="143">
        <v>262286</v>
      </c>
      <c r="D40" s="83">
        <v>30</v>
      </c>
      <c r="E40" s="83"/>
      <c r="F40" s="83"/>
      <c r="G40" s="83"/>
      <c r="H40" s="83"/>
      <c r="I40" s="83"/>
      <c r="J40" s="83"/>
      <c r="K40" s="83">
        <v>30</v>
      </c>
      <c r="L40" s="83"/>
      <c r="M40" s="120"/>
    </row>
    <row r="41" spans="1:13" ht="16" x14ac:dyDescent="0.2">
      <c r="A41" s="142">
        <v>39</v>
      </c>
      <c r="B41" s="84" t="s">
        <v>579</v>
      </c>
      <c r="C41" s="143">
        <v>262287</v>
      </c>
      <c r="D41" s="83">
        <v>50</v>
      </c>
      <c r="E41" s="83"/>
      <c r="F41" s="83">
        <v>50</v>
      </c>
      <c r="G41" s="83"/>
      <c r="H41" s="83"/>
      <c r="I41" s="83"/>
      <c r="J41" s="83"/>
      <c r="K41" s="83"/>
      <c r="L41" s="83"/>
      <c r="M41" s="120"/>
    </row>
    <row r="42" spans="1:13" ht="16" x14ac:dyDescent="0.2">
      <c r="A42" s="142">
        <v>40</v>
      </c>
      <c r="B42" s="84" t="s">
        <v>580</v>
      </c>
      <c r="C42" s="143">
        <v>262288</v>
      </c>
      <c r="D42" s="83">
        <v>500</v>
      </c>
      <c r="E42" s="83"/>
      <c r="F42" s="83">
        <v>500</v>
      </c>
      <c r="G42" s="83"/>
      <c r="H42" s="83"/>
      <c r="I42" s="83"/>
      <c r="J42" s="83"/>
      <c r="K42" s="83"/>
      <c r="L42" s="83"/>
      <c r="M42" s="120"/>
    </row>
    <row r="43" spans="1:13" ht="16" x14ac:dyDescent="0.2">
      <c r="A43" s="142">
        <v>41</v>
      </c>
      <c r="B43" s="84" t="s">
        <v>581</v>
      </c>
      <c r="C43" s="143">
        <v>262289</v>
      </c>
      <c r="D43" s="83">
        <v>100</v>
      </c>
      <c r="E43" s="83"/>
      <c r="F43" s="83">
        <v>100</v>
      </c>
      <c r="G43" s="83"/>
      <c r="H43" s="83"/>
      <c r="I43" s="83"/>
      <c r="J43" s="83"/>
      <c r="K43" s="83"/>
      <c r="L43" s="83"/>
      <c r="M43" s="120"/>
    </row>
    <row r="44" spans="1:13" ht="16" x14ac:dyDescent="0.2">
      <c r="A44" s="142">
        <v>42</v>
      </c>
      <c r="B44" s="107" t="s">
        <v>582</v>
      </c>
      <c r="C44" s="143">
        <v>262290</v>
      </c>
      <c r="D44" s="132">
        <v>50</v>
      </c>
      <c r="E44" s="132">
        <v>50</v>
      </c>
      <c r="F44" s="132"/>
      <c r="G44" s="132"/>
      <c r="H44" s="132"/>
      <c r="I44" s="132"/>
      <c r="J44" s="132"/>
      <c r="K44" s="132"/>
      <c r="L44" s="132"/>
      <c r="M44" s="120"/>
    </row>
    <row r="45" spans="1:13" ht="16" x14ac:dyDescent="0.2">
      <c r="A45" s="142">
        <v>43</v>
      </c>
      <c r="B45" s="107" t="s">
        <v>583</v>
      </c>
      <c r="C45" s="143">
        <v>262291</v>
      </c>
      <c r="D45" s="132">
        <v>20</v>
      </c>
      <c r="E45" s="132">
        <v>20</v>
      </c>
      <c r="F45" s="132"/>
      <c r="G45" s="132"/>
      <c r="H45" s="132"/>
      <c r="I45" s="132"/>
      <c r="J45" s="132"/>
      <c r="K45" s="132"/>
      <c r="L45" s="132"/>
      <c r="M45" s="120"/>
    </row>
    <row r="46" spans="1:13" ht="16" x14ac:dyDescent="0.2">
      <c r="A46" s="142">
        <v>44</v>
      </c>
      <c r="B46" s="107" t="s">
        <v>584</v>
      </c>
      <c r="C46" s="143">
        <v>262292</v>
      </c>
      <c r="D46" s="132">
        <v>1500</v>
      </c>
      <c r="E46" s="132">
        <v>1500</v>
      </c>
      <c r="F46" s="132"/>
      <c r="G46" s="132"/>
      <c r="H46" s="132"/>
      <c r="I46" s="132"/>
      <c r="J46" s="132"/>
      <c r="K46" s="132"/>
      <c r="L46" s="132"/>
      <c r="M46" s="120"/>
    </row>
    <row r="47" spans="1:13" ht="16" x14ac:dyDescent="0.2">
      <c r="A47" s="142">
        <v>45</v>
      </c>
      <c r="B47" s="107" t="s">
        <v>585</v>
      </c>
      <c r="C47" s="143">
        <v>262293</v>
      </c>
      <c r="D47" s="132">
        <v>30</v>
      </c>
      <c r="E47" s="132"/>
      <c r="F47" s="132"/>
      <c r="G47" s="132"/>
      <c r="H47" s="132"/>
      <c r="I47" s="132"/>
      <c r="J47" s="132"/>
      <c r="K47" s="132">
        <v>30</v>
      </c>
      <c r="L47" s="132"/>
      <c r="M47" s="120"/>
    </row>
    <row r="48" spans="1:13" ht="16" x14ac:dyDescent="0.2">
      <c r="A48" s="142">
        <v>46</v>
      </c>
      <c r="B48" s="85" t="s">
        <v>586</v>
      </c>
      <c r="C48" s="143">
        <v>262294</v>
      </c>
      <c r="D48" s="87">
        <v>100</v>
      </c>
      <c r="K48" s="87">
        <v>100</v>
      </c>
      <c r="M48" s="120"/>
    </row>
    <row r="49" spans="1:13" ht="16" x14ac:dyDescent="0.2">
      <c r="A49" s="142">
        <v>47</v>
      </c>
      <c r="B49" s="107" t="s">
        <v>587</v>
      </c>
      <c r="C49" s="143">
        <v>262295</v>
      </c>
      <c r="D49" s="132">
        <v>100</v>
      </c>
      <c r="E49" s="132">
        <v>100</v>
      </c>
      <c r="F49" s="132"/>
      <c r="G49" s="132"/>
      <c r="H49" s="132"/>
      <c r="I49" s="132"/>
      <c r="J49" s="132"/>
      <c r="K49" s="132"/>
      <c r="L49" s="132"/>
      <c r="M49" s="120"/>
    </row>
    <row r="50" spans="1:13" ht="16" x14ac:dyDescent="0.2">
      <c r="A50" s="142">
        <v>48</v>
      </c>
      <c r="B50" s="107" t="s">
        <v>588</v>
      </c>
      <c r="C50" s="143">
        <v>262296</v>
      </c>
      <c r="D50" s="132">
        <v>40</v>
      </c>
      <c r="E50" s="132">
        <v>40</v>
      </c>
      <c r="F50" s="132"/>
      <c r="G50" s="132"/>
      <c r="H50" s="132"/>
      <c r="I50" s="132"/>
      <c r="J50" s="132"/>
      <c r="K50" s="132"/>
      <c r="L50" s="132"/>
      <c r="M50" s="120"/>
    </row>
    <row r="51" spans="1:13" ht="16" x14ac:dyDescent="0.2">
      <c r="A51" s="142">
        <v>49</v>
      </c>
      <c r="B51" s="107" t="s">
        <v>589</v>
      </c>
      <c r="C51" s="143">
        <v>262297</v>
      </c>
      <c r="D51" s="132">
        <v>2228</v>
      </c>
      <c r="E51" s="132">
        <v>1528</v>
      </c>
      <c r="F51" s="132"/>
      <c r="G51" s="132"/>
      <c r="H51" s="132"/>
      <c r="I51" s="132">
        <v>700</v>
      </c>
      <c r="J51" s="132"/>
      <c r="K51" s="132"/>
      <c r="L51" s="132"/>
      <c r="M51" s="120"/>
    </row>
    <row r="52" spans="1:13" ht="16" x14ac:dyDescent="0.2">
      <c r="A52" s="142">
        <v>50</v>
      </c>
      <c r="B52" s="107" t="s">
        <v>590</v>
      </c>
      <c r="C52" s="143">
        <v>262298</v>
      </c>
      <c r="D52" s="132">
        <v>200</v>
      </c>
      <c r="E52" s="132"/>
      <c r="F52" s="132"/>
      <c r="G52" s="132"/>
      <c r="H52" s="132"/>
      <c r="I52" s="132">
        <v>200</v>
      </c>
      <c r="J52" s="132"/>
      <c r="K52" s="132"/>
      <c r="L52" s="132"/>
      <c r="M52" s="120"/>
    </row>
    <row r="53" spans="1:13" ht="16" x14ac:dyDescent="0.2">
      <c r="A53" s="142">
        <v>51</v>
      </c>
      <c r="B53" s="107" t="s">
        <v>591</v>
      </c>
      <c r="C53" s="143">
        <v>262299</v>
      </c>
      <c r="D53" s="132">
        <v>100</v>
      </c>
      <c r="E53" s="132">
        <v>100</v>
      </c>
      <c r="F53" s="132"/>
      <c r="G53" s="132"/>
      <c r="H53" s="132"/>
      <c r="I53" s="132"/>
      <c r="J53" s="132"/>
      <c r="K53" s="132"/>
      <c r="L53" s="132"/>
      <c r="M53" s="120"/>
    </row>
    <row r="54" spans="1:13" ht="16" x14ac:dyDescent="0.2">
      <c r="A54" s="142">
        <v>52</v>
      </c>
      <c r="B54" s="107" t="s">
        <v>592</v>
      </c>
      <c r="C54" s="143">
        <v>262300</v>
      </c>
      <c r="D54" s="132">
        <v>50</v>
      </c>
      <c r="E54" s="132">
        <v>50</v>
      </c>
      <c r="F54" s="132"/>
      <c r="G54" s="132"/>
      <c r="H54" s="132"/>
      <c r="I54" s="132"/>
      <c r="J54" s="132"/>
      <c r="K54" s="132"/>
      <c r="L54" s="132"/>
      <c r="M54" s="120"/>
    </row>
    <row r="55" spans="1:13" ht="16" x14ac:dyDescent="0.2">
      <c r="A55" s="142">
        <v>53</v>
      </c>
      <c r="B55" s="107" t="s">
        <v>593</v>
      </c>
      <c r="C55" s="143">
        <v>262301</v>
      </c>
      <c r="D55" s="132">
        <v>100</v>
      </c>
      <c r="E55" s="132">
        <v>100</v>
      </c>
      <c r="F55" s="132"/>
      <c r="G55" s="132"/>
      <c r="H55" s="132"/>
      <c r="I55" s="132"/>
      <c r="J55" s="132"/>
      <c r="K55" s="132"/>
      <c r="L55" s="132"/>
      <c r="M55" s="120"/>
    </row>
    <row r="56" spans="1:13" ht="16" x14ac:dyDescent="0.2">
      <c r="A56" s="142">
        <v>54</v>
      </c>
      <c r="B56" s="107" t="s">
        <v>594</v>
      </c>
      <c r="C56" s="143">
        <v>262302</v>
      </c>
      <c r="D56" s="132">
        <v>1000</v>
      </c>
      <c r="E56" s="132"/>
      <c r="F56" s="132">
        <v>1000</v>
      </c>
      <c r="G56" s="132"/>
      <c r="H56" s="132"/>
      <c r="I56" s="132"/>
      <c r="J56" s="132"/>
      <c r="K56" s="132"/>
      <c r="L56" s="132"/>
      <c r="M56" s="120"/>
    </row>
    <row r="57" spans="1:13" ht="16" x14ac:dyDescent="0.2">
      <c r="A57" s="142">
        <v>55</v>
      </c>
      <c r="B57" s="107" t="s">
        <v>595</v>
      </c>
      <c r="C57" s="143">
        <v>262303</v>
      </c>
      <c r="D57" s="132">
        <v>50</v>
      </c>
      <c r="E57" s="132"/>
      <c r="F57" s="132">
        <v>50</v>
      </c>
      <c r="G57" s="132"/>
      <c r="H57" s="132"/>
      <c r="I57" s="132"/>
      <c r="J57" s="132"/>
      <c r="K57" s="132"/>
      <c r="L57" s="132"/>
      <c r="M57" s="120"/>
    </row>
    <row r="58" spans="1:13" ht="16" x14ac:dyDescent="0.2">
      <c r="A58" s="142">
        <v>56</v>
      </c>
      <c r="B58" s="107" t="s">
        <v>596</v>
      </c>
      <c r="C58" s="143">
        <v>262304</v>
      </c>
      <c r="D58" s="132">
        <v>150</v>
      </c>
      <c r="E58" s="132"/>
      <c r="F58" s="132">
        <v>150</v>
      </c>
      <c r="G58" s="132"/>
      <c r="H58" s="132"/>
      <c r="I58" s="132"/>
      <c r="J58" s="132"/>
      <c r="K58" s="132"/>
      <c r="L58" s="132"/>
      <c r="M58" s="120"/>
    </row>
    <row r="59" spans="1:13" ht="16" x14ac:dyDescent="0.2">
      <c r="A59" s="142">
        <v>57</v>
      </c>
      <c r="B59" s="107" t="s">
        <v>597</v>
      </c>
      <c r="C59" s="143">
        <v>262305</v>
      </c>
      <c r="D59" s="132">
        <v>500</v>
      </c>
      <c r="E59" s="132">
        <v>500</v>
      </c>
      <c r="F59" s="132"/>
      <c r="G59" s="132"/>
      <c r="H59" s="132"/>
      <c r="I59" s="132"/>
      <c r="J59" s="132"/>
      <c r="K59" s="132"/>
      <c r="L59" s="132"/>
      <c r="M59" s="120"/>
    </row>
    <row r="60" spans="1:13" ht="16" x14ac:dyDescent="0.2">
      <c r="A60" s="142">
        <v>58</v>
      </c>
      <c r="B60" s="107" t="s">
        <v>461</v>
      </c>
      <c r="C60" s="143">
        <v>262306</v>
      </c>
      <c r="D60" s="132">
        <v>50</v>
      </c>
      <c r="E60" s="132"/>
      <c r="F60" s="132">
        <v>50</v>
      </c>
      <c r="G60" s="132"/>
      <c r="H60" s="132"/>
      <c r="I60" s="132"/>
      <c r="J60" s="132"/>
      <c r="K60" s="132"/>
      <c r="L60" s="132"/>
      <c r="M60" s="120"/>
    </row>
    <row r="61" spans="1:13" ht="16" x14ac:dyDescent="0.2">
      <c r="A61" s="142">
        <v>59</v>
      </c>
      <c r="B61" s="107" t="s">
        <v>598</v>
      </c>
      <c r="C61" s="143">
        <v>262307</v>
      </c>
      <c r="D61" s="132">
        <v>5000</v>
      </c>
      <c r="E61" s="132">
        <v>5000</v>
      </c>
      <c r="F61" s="132"/>
      <c r="G61" s="132"/>
      <c r="H61" s="132"/>
      <c r="I61" s="132"/>
      <c r="J61" s="132"/>
      <c r="K61" s="132"/>
      <c r="L61" s="132"/>
      <c r="M61" s="120"/>
    </row>
    <row r="62" spans="1:13" ht="16" x14ac:dyDescent="0.2">
      <c r="A62" s="142">
        <v>60</v>
      </c>
      <c r="B62" s="107" t="s">
        <v>599</v>
      </c>
      <c r="C62" s="143">
        <v>262308</v>
      </c>
      <c r="D62" s="132">
        <v>80</v>
      </c>
      <c r="E62" s="132">
        <v>80</v>
      </c>
      <c r="F62" s="132"/>
      <c r="G62" s="132"/>
      <c r="H62" s="132"/>
      <c r="I62" s="132"/>
      <c r="J62" s="132"/>
      <c r="K62" s="132"/>
      <c r="L62" s="132"/>
      <c r="M62" s="120"/>
    </row>
    <row r="63" spans="1:13" ht="16" x14ac:dyDescent="0.2">
      <c r="A63" s="142">
        <v>61</v>
      </c>
      <c r="B63" s="107" t="s">
        <v>600</v>
      </c>
      <c r="C63" s="143">
        <v>262309</v>
      </c>
      <c r="D63" s="132">
        <v>50</v>
      </c>
      <c r="E63" s="132">
        <v>50</v>
      </c>
      <c r="F63" s="132"/>
      <c r="G63" s="132"/>
      <c r="H63" s="132"/>
      <c r="I63" s="132"/>
      <c r="J63" s="132"/>
      <c r="K63" s="132"/>
      <c r="L63" s="132"/>
      <c r="M63" s="120"/>
    </row>
    <row r="64" spans="1:13" ht="16" x14ac:dyDescent="0.2">
      <c r="A64" s="142">
        <v>62</v>
      </c>
      <c r="B64" s="107" t="s">
        <v>601</v>
      </c>
      <c r="C64" s="143">
        <v>262310</v>
      </c>
      <c r="D64" s="132">
        <v>100</v>
      </c>
      <c r="E64" s="132">
        <v>100</v>
      </c>
      <c r="F64" s="132"/>
      <c r="G64" s="132"/>
      <c r="H64" s="132"/>
      <c r="I64" s="132"/>
      <c r="J64" s="132"/>
      <c r="K64" s="132"/>
      <c r="L64" s="132"/>
      <c r="M64" s="120"/>
    </row>
    <row r="65" spans="1:13" ht="16" x14ac:dyDescent="0.2">
      <c r="A65" s="142">
        <v>63</v>
      </c>
      <c r="B65" s="107" t="s">
        <v>602</v>
      </c>
      <c r="C65" s="143">
        <v>262311</v>
      </c>
      <c r="D65" s="132">
        <v>1000</v>
      </c>
      <c r="E65" s="132">
        <v>1000</v>
      </c>
      <c r="F65" s="132"/>
      <c r="G65" s="132"/>
      <c r="H65" s="132"/>
      <c r="I65" s="132"/>
      <c r="J65" s="132"/>
      <c r="K65" s="132"/>
      <c r="L65" s="132"/>
      <c r="M65" s="120"/>
    </row>
    <row r="66" spans="1:13" ht="16" x14ac:dyDescent="0.2">
      <c r="A66" s="142">
        <v>64</v>
      </c>
      <c r="B66" s="107" t="s">
        <v>603</v>
      </c>
      <c r="C66" s="143">
        <v>262312</v>
      </c>
      <c r="D66" s="132">
        <v>100</v>
      </c>
      <c r="E66" s="132">
        <v>100</v>
      </c>
      <c r="F66" s="132"/>
      <c r="G66" s="132"/>
      <c r="H66" s="132"/>
      <c r="I66" s="132"/>
      <c r="J66" s="132"/>
      <c r="K66" s="132"/>
      <c r="L66" s="132"/>
      <c r="M66" s="120"/>
    </row>
    <row r="67" spans="1:13" ht="16" x14ac:dyDescent="0.2">
      <c r="A67" s="142">
        <v>65</v>
      </c>
      <c r="B67" s="107" t="s">
        <v>604</v>
      </c>
      <c r="C67" s="143">
        <v>262313</v>
      </c>
      <c r="D67" s="132">
        <v>1000</v>
      </c>
      <c r="E67" s="132">
        <v>1000</v>
      </c>
      <c r="F67" s="132"/>
      <c r="G67" s="132"/>
      <c r="H67" s="132"/>
      <c r="I67" s="132"/>
      <c r="J67" s="132"/>
      <c r="K67" s="132"/>
      <c r="L67" s="132"/>
      <c r="M67" s="120"/>
    </row>
    <row r="68" spans="1:13" ht="16" x14ac:dyDescent="0.2">
      <c r="A68" s="142">
        <v>66</v>
      </c>
      <c r="B68" s="107" t="s">
        <v>605</v>
      </c>
      <c r="C68" s="143">
        <v>262314</v>
      </c>
      <c r="D68" s="132">
        <v>1530</v>
      </c>
      <c r="E68" s="132">
        <v>1530</v>
      </c>
      <c r="F68" s="132"/>
      <c r="G68" s="132"/>
      <c r="H68" s="132"/>
      <c r="I68" s="132"/>
      <c r="J68" s="132"/>
      <c r="K68" s="132"/>
      <c r="L68" s="132"/>
      <c r="M68" s="120"/>
    </row>
    <row r="69" spans="1:13" ht="16" x14ac:dyDescent="0.2">
      <c r="A69" s="142">
        <v>67</v>
      </c>
      <c r="B69" s="107" t="s">
        <v>606</v>
      </c>
      <c r="C69" s="143">
        <v>262315</v>
      </c>
      <c r="D69" s="132">
        <v>100</v>
      </c>
      <c r="E69" s="132"/>
      <c r="F69" s="132">
        <v>100</v>
      </c>
      <c r="G69" s="132"/>
      <c r="H69" s="132"/>
      <c r="I69" s="132"/>
      <c r="J69" s="132"/>
      <c r="K69" s="132"/>
      <c r="L69" s="132"/>
      <c r="M69" s="120"/>
    </row>
    <row r="70" spans="1:13" ht="16" x14ac:dyDescent="0.2">
      <c r="A70" s="142">
        <v>68</v>
      </c>
      <c r="B70" s="107" t="s">
        <v>457</v>
      </c>
      <c r="C70" s="143">
        <v>262316</v>
      </c>
      <c r="D70" s="132">
        <v>100</v>
      </c>
      <c r="E70" s="132"/>
      <c r="F70" s="132"/>
      <c r="G70" s="132"/>
      <c r="H70" s="132"/>
      <c r="I70" s="132"/>
      <c r="J70" s="132">
        <v>100</v>
      </c>
      <c r="K70" s="132"/>
      <c r="L70" s="132"/>
      <c r="M70" s="120"/>
    </row>
    <row r="71" spans="1:13" ht="16" x14ac:dyDescent="0.2">
      <c r="A71" s="142">
        <v>69</v>
      </c>
      <c r="B71" s="107" t="s">
        <v>607</v>
      </c>
      <c r="C71" s="143">
        <v>262317</v>
      </c>
      <c r="D71" s="132">
        <v>100</v>
      </c>
      <c r="E71" s="132">
        <v>100</v>
      </c>
      <c r="F71" s="132"/>
      <c r="G71" s="132"/>
      <c r="H71" s="132"/>
      <c r="I71" s="132"/>
      <c r="J71" s="132"/>
      <c r="K71" s="132"/>
      <c r="L71" s="132"/>
      <c r="M71" s="120"/>
    </row>
    <row r="72" spans="1:13" ht="16" x14ac:dyDescent="0.2">
      <c r="A72" s="142">
        <v>70</v>
      </c>
      <c r="B72" s="107" t="s">
        <v>164</v>
      </c>
      <c r="C72" s="143">
        <v>262318</v>
      </c>
      <c r="D72" s="132">
        <v>2400</v>
      </c>
      <c r="E72" s="132">
        <v>2400</v>
      </c>
      <c r="F72" s="132"/>
      <c r="G72" s="132"/>
      <c r="H72" s="132"/>
      <c r="I72" s="132"/>
      <c r="J72" s="132"/>
      <c r="K72" s="132"/>
      <c r="L72" s="132"/>
      <c r="M72" s="120"/>
    </row>
    <row r="73" spans="1:13" ht="16" x14ac:dyDescent="0.2">
      <c r="A73" s="142">
        <v>71</v>
      </c>
      <c r="B73" s="107" t="s">
        <v>608</v>
      </c>
      <c r="C73" s="143">
        <v>262319</v>
      </c>
      <c r="D73" s="132">
        <v>1000</v>
      </c>
      <c r="E73" s="132"/>
      <c r="F73" s="132"/>
      <c r="G73" s="132"/>
      <c r="H73" s="132">
        <v>1000</v>
      </c>
      <c r="I73" s="132"/>
      <c r="J73" s="132"/>
      <c r="K73" s="132"/>
      <c r="L73" s="132"/>
      <c r="M73" s="120"/>
    </row>
    <row r="74" spans="1:13" ht="16" x14ac:dyDescent="0.2">
      <c r="A74" s="142">
        <v>72</v>
      </c>
      <c r="B74" s="84" t="s">
        <v>609</v>
      </c>
      <c r="C74" s="61">
        <v>83377</v>
      </c>
      <c r="D74" s="61">
        <v>100</v>
      </c>
      <c r="E74" s="83"/>
      <c r="F74" s="83">
        <v>50</v>
      </c>
      <c r="G74" s="83"/>
      <c r="H74" s="83"/>
      <c r="I74" s="83"/>
      <c r="J74" s="83"/>
      <c r="K74" s="83"/>
      <c r="L74" s="83">
        <v>50</v>
      </c>
      <c r="M74" s="120"/>
    </row>
    <row r="75" spans="1:13" ht="16" x14ac:dyDescent="0.2">
      <c r="A75" s="142">
        <v>73</v>
      </c>
      <c r="B75" s="84" t="s">
        <v>610</v>
      </c>
      <c r="C75" s="61">
        <v>83378</v>
      </c>
      <c r="D75" s="83">
        <v>700</v>
      </c>
      <c r="E75" s="83"/>
      <c r="F75" s="83">
        <v>700</v>
      </c>
      <c r="G75" s="83"/>
      <c r="H75" s="83"/>
      <c r="I75" s="83"/>
      <c r="J75" s="83"/>
      <c r="K75" s="83"/>
      <c r="L75" s="83"/>
      <c r="M75" s="120"/>
    </row>
    <row r="76" spans="1:13" ht="16" x14ac:dyDescent="0.2">
      <c r="A76" s="142">
        <v>74</v>
      </c>
      <c r="B76" s="84" t="s">
        <v>611</v>
      </c>
      <c r="C76" s="61">
        <v>83379</v>
      </c>
      <c r="D76" s="83">
        <v>100</v>
      </c>
      <c r="E76" s="83">
        <v>100</v>
      </c>
      <c r="F76" s="83"/>
      <c r="G76" s="83"/>
      <c r="H76" s="83"/>
      <c r="I76" s="83"/>
      <c r="J76" s="83"/>
      <c r="K76" s="83"/>
      <c r="L76" s="83"/>
      <c r="M76" s="120"/>
    </row>
    <row r="77" spans="1:13" ht="16" x14ac:dyDescent="0.2">
      <c r="A77" s="142">
        <v>75</v>
      </c>
      <c r="B77" s="84" t="s">
        <v>612</v>
      </c>
      <c r="C77" s="61">
        <v>83380</v>
      </c>
      <c r="D77" s="83">
        <v>500</v>
      </c>
      <c r="E77" s="83"/>
      <c r="F77" s="83">
        <v>500</v>
      </c>
      <c r="G77" s="83"/>
      <c r="H77" s="83"/>
      <c r="I77" s="83"/>
      <c r="J77" s="83"/>
      <c r="K77" s="83"/>
      <c r="L77" s="83"/>
      <c r="M77" s="120"/>
    </row>
    <row r="78" spans="1:13" ht="16" x14ac:dyDescent="0.2">
      <c r="A78" s="142">
        <v>76</v>
      </c>
      <c r="B78" s="84" t="s">
        <v>613</v>
      </c>
      <c r="C78" s="61">
        <v>83381</v>
      </c>
      <c r="D78" s="83">
        <v>100</v>
      </c>
      <c r="E78" s="83">
        <v>100</v>
      </c>
      <c r="F78" s="83"/>
      <c r="G78" s="83"/>
      <c r="H78" s="83"/>
      <c r="I78" s="83"/>
      <c r="J78" s="83"/>
      <c r="K78" s="83"/>
      <c r="L78" s="83"/>
      <c r="M78" s="120"/>
    </row>
    <row r="79" spans="1:13" ht="16" x14ac:dyDescent="0.2">
      <c r="A79" s="142">
        <v>77</v>
      </c>
      <c r="B79" s="84" t="s">
        <v>614</v>
      </c>
      <c r="C79" s="61">
        <v>83382</v>
      </c>
      <c r="D79" s="83">
        <v>25</v>
      </c>
      <c r="E79" s="83"/>
      <c r="F79" s="83">
        <v>25</v>
      </c>
      <c r="G79" s="83"/>
      <c r="H79" s="83"/>
      <c r="I79" s="83"/>
      <c r="J79" s="83"/>
      <c r="K79" s="83"/>
      <c r="L79" s="83"/>
      <c r="M79" s="120"/>
    </row>
    <row r="80" spans="1:13" ht="16" x14ac:dyDescent="0.2">
      <c r="A80" s="142">
        <v>78</v>
      </c>
      <c r="B80" s="84" t="s">
        <v>615</v>
      </c>
      <c r="C80" s="61">
        <v>83383</v>
      </c>
      <c r="D80" s="83">
        <v>100</v>
      </c>
      <c r="E80" s="83"/>
      <c r="F80" s="83"/>
      <c r="G80" s="83"/>
      <c r="H80" s="83"/>
      <c r="I80" s="83"/>
      <c r="J80" s="83"/>
      <c r="K80" s="83"/>
      <c r="L80" s="83">
        <v>100</v>
      </c>
      <c r="M80" s="120"/>
    </row>
    <row r="81" spans="1:13" ht="16" x14ac:dyDescent="0.2">
      <c r="A81" s="142">
        <v>79</v>
      </c>
      <c r="B81" s="84" t="s">
        <v>94</v>
      </c>
      <c r="C81" s="61">
        <v>83384</v>
      </c>
      <c r="D81" s="83">
        <v>720</v>
      </c>
      <c r="E81" s="83">
        <v>360</v>
      </c>
      <c r="F81" s="83">
        <v>360</v>
      </c>
      <c r="G81" s="83"/>
      <c r="H81" s="83"/>
      <c r="I81" s="83"/>
      <c r="J81" s="83"/>
      <c r="K81" s="83"/>
      <c r="L81" s="83"/>
      <c r="M81" s="120"/>
    </row>
    <row r="82" spans="1:13" ht="16" x14ac:dyDescent="0.2">
      <c r="A82" s="142">
        <v>80</v>
      </c>
      <c r="B82" s="84" t="s">
        <v>616</v>
      </c>
      <c r="C82" s="61">
        <v>83385</v>
      </c>
      <c r="D82" s="83">
        <v>200</v>
      </c>
      <c r="E82" s="83"/>
      <c r="F82" s="83">
        <v>100</v>
      </c>
      <c r="G82" s="83"/>
      <c r="H82" s="83"/>
      <c r="I82" s="83"/>
      <c r="J82" s="83"/>
      <c r="K82" s="83"/>
      <c r="L82" s="83">
        <v>100</v>
      </c>
      <c r="M82" s="120"/>
    </row>
    <row r="83" spans="1:13" ht="16" x14ac:dyDescent="0.2">
      <c r="A83" s="142">
        <v>81</v>
      </c>
      <c r="B83" s="84" t="s">
        <v>617</v>
      </c>
      <c r="C83" s="61">
        <v>83386</v>
      </c>
      <c r="D83" s="83">
        <v>200</v>
      </c>
      <c r="E83" s="83">
        <v>100</v>
      </c>
      <c r="F83" s="83"/>
      <c r="G83" s="83"/>
      <c r="H83" s="83"/>
      <c r="I83" s="83"/>
      <c r="J83" s="83"/>
      <c r="K83" s="83"/>
      <c r="L83" s="83">
        <v>100</v>
      </c>
      <c r="M83" s="120"/>
    </row>
    <row r="84" spans="1:13" ht="16" x14ac:dyDescent="0.2">
      <c r="A84" s="142">
        <v>82</v>
      </c>
      <c r="B84" s="84" t="s">
        <v>618</v>
      </c>
      <c r="C84" s="61">
        <v>83387</v>
      </c>
      <c r="D84" s="83">
        <v>200</v>
      </c>
      <c r="E84" s="83">
        <v>50</v>
      </c>
      <c r="F84" s="83">
        <v>50</v>
      </c>
      <c r="G84" s="83">
        <v>50</v>
      </c>
      <c r="H84" s="83">
        <v>50</v>
      </c>
      <c r="I84" s="83"/>
      <c r="J84" s="83"/>
      <c r="K84" s="83"/>
      <c r="L84" s="83"/>
      <c r="M84" s="120"/>
    </row>
    <row r="85" spans="1:13" ht="16" x14ac:dyDescent="0.2">
      <c r="A85" s="142">
        <v>83</v>
      </c>
      <c r="B85" s="84" t="s">
        <v>619</v>
      </c>
      <c r="C85" s="61">
        <v>83388</v>
      </c>
      <c r="D85" s="83">
        <v>100</v>
      </c>
      <c r="E85" s="83">
        <v>100</v>
      </c>
      <c r="F85" s="83"/>
      <c r="G85" s="83"/>
      <c r="H85" s="83"/>
      <c r="I85" s="83"/>
      <c r="J85" s="83"/>
      <c r="K85" s="83"/>
      <c r="L85" s="83"/>
      <c r="M85" s="120"/>
    </row>
    <row r="86" spans="1:13" ht="16" x14ac:dyDescent="0.2">
      <c r="A86" s="142">
        <v>84</v>
      </c>
      <c r="B86" s="84" t="s">
        <v>620</v>
      </c>
      <c r="C86" s="61">
        <v>83389</v>
      </c>
      <c r="D86" s="83">
        <v>50</v>
      </c>
      <c r="E86" s="83"/>
      <c r="F86" s="83"/>
      <c r="G86" s="83"/>
      <c r="H86" s="83"/>
      <c r="I86" s="83"/>
      <c r="J86" s="83"/>
      <c r="K86" s="83"/>
      <c r="L86" s="83">
        <v>50</v>
      </c>
      <c r="M86" s="120"/>
    </row>
    <row r="87" spans="1:13" ht="16" x14ac:dyDescent="0.2">
      <c r="A87" s="142">
        <v>85</v>
      </c>
      <c r="B87" s="84" t="s">
        <v>621</v>
      </c>
      <c r="C87" s="61">
        <v>83390</v>
      </c>
      <c r="D87" s="83">
        <v>100</v>
      </c>
      <c r="E87" s="83">
        <v>100</v>
      </c>
      <c r="F87" s="83"/>
      <c r="G87" s="83"/>
      <c r="H87" s="83"/>
      <c r="I87" s="83"/>
      <c r="J87" s="83"/>
      <c r="K87" s="83"/>
      <c r="L87" s="83"/>
      <c r="M87" s="120"/>
    </row>
    <row r="88" spans="1:13" ht="16" x14ac:dyDescent="0.2">
      <c r="A88" s="142">
        <v>86</v>
      </c>
      <c r="B88" s="84" t="s">
        <v>622</v>
      </c>
      <c r="C88" s="61">
        <v>83391</v>
      </c>
      <c r="D88" s="83">
        <v>300</v>
      </c>
      <c r="E88" s="83"/>
      <c r="F88" s="83">
        <v>100</v>
      </c>
      <c r="G88" s="83"/>
      <c r="H88" s="83"/>
      <c r="I88" s="83">
        <v>200</v>
      </c>
      <c r="J88" s="83"/>
      <c r="K88" s="83"/>
      <c r="L88" s="83"/>
      <c r="M88" s="120"/>
    </row>
    <row r="89" spans="1:13" ht="16" x14ac:dyDescent="0.2">
      <c r="A89" s="142">
        <v>87</v>
      </c>
      <c r="B89" s="84" t="s">
        <v>623</v>
      </c>
      <c r="C89" s="61">
        <v>83392</v>
      </c>
      <c r="D89" s="83">
        <v>50</v>
      </c>
      <c r="E89" s="83">
        <v>50</v>
      </c>
      <c r="F89" s="83"/>
      <c r="G89" s="83"/>
      <c r="H89" s="83"/>
      <c r="I89" s="83"/>
      <c r="J89" s="83"/>
      <c r="K89" s="83"/>
      <c r="L89" s="83"/>
      <c r="M89" s="120"/>
    </row>
    <row r="90" spans="1:13" ht="16" x14ac:dyDescent="0.2">
      <c r="A90" s="142">
        <v>88</v>
      </c>
      <c r="B90" s="84" t="s">
        <v>624</v>
      </c>
      <c r="C90" s="61">
        <v>83393</v>
      </c>
      <c r="D90" s="83">
        <v>30</v>
      </c>
      <c r="E90" s="83">
        <v>30</v>
      </c>
      <c r="F90" s="83"/>
      <c r="G90" s="83"/>
      <c r="H90" s="83"/>
      <c r="I90" s="83"/>
      <c r="J90" s="83"/>
      <c r="K90" s="83"/>
      <c r="L90" s="83"/>
      <c r="M90" s="120"/>
    </row>
    <row r="91" spans="1:13" ht="16" x14ac:dyDescent="0.2">
      <c r="A91" s="142">
        <v>89</v>
      </c>
      <c r="B91" s="84" t="s">
        <v>625</v>
      </c>
      <c r="C91" s="61">
        <v>83394</v>
      </c>
      <c r="D91" s="83">
        <v>800</v>
      </c>
      <c r="E91" s="83">
        <v>750</v>
      </c>
      <c r="F91" s="83"/>
      <c r="G91" s="83"/>
      <c r="H91" s="83"/>
      <c r="I91" s="83"/>
      <c r="J91" s="83"/>
      <c r="K91" s="83"/>
      <c r="L91" s="83">
        <v>50</v>
      </c>
      <c r="M91" s="120"/>
    </row>
    <row r="92" spans="1:13" ht="16" x14ac:dyDescent="0.2">
      <c r="A92" s="142">
        <v>90</v>
      </c>
      <c r="B92" s="84" t="s">
        <v>441</v>
      </c>
      <c r="C92" s="61">
        <v>83395</v>
      </c>
      <c r="D92" s="83">
        <v>100</v>
      </c>
      <c r="E92" s="83">
        <v>100</v>
      </c>
      <c r="F92" s="83"/>
      <c r="G92" s="83"/>
      <c r="H92" s="83"/>
      <c r="I92" s="83"/>
      <c r="J92" s="83"/>
      <c r="K92" s="83"/>
      <c r="L92" s="83"/>
      <c r="M92" s="120"/>
    </row>
    <row r="93" spans="1:13" ht="16" x14ac:dyDescent="0.2">
      <c r="A93" s="142">
        <v>91</v>
      </c>
      <c r="B93" s="84" t="s">
        <v>626</v>
      </c>
      <c r="C93" s="61">
        <v>83396</v>
      </c>
      <c r="D93" s="83">
        <v>100</v>
      </c>
      <c r="E93" s="83"/>
      <c r="F93" s="83"/>
      <c r="G93" s="83"/>
      <c r="H93" s="83"/>
      <c r="I93" s="83"/>
      <c r="J93" s="83"/>
      <c r="K93" s="83"/>
      <c r="L93" s="83">
        <v>100</v>
      </c>
      <c r="M93" s="120"/>
    </row>
    <row r="94" spans="1:13" ht="16" x14ac:dyDescent="0.2">
      <c r="A94" s="142">
        <v>92</v>
      </c>
      <c r="B94" s="107" t="s">
        <v>506</v>
      </c>
      <c r="C94" s="61">
        <v>83397</v>
      </c>
      <c r="D94" s="83">
        <v>500</v>
      </c>
      <c r="E94" s="83">
        <v>200</v>
      </c>
      <c r="F94" s="83">
        <v>200</v>
      </c>
      <c r="G94" s="83"/>
      <c r="H94" s="83"/>
      <c r="I94" s="83"/>
      <c r="J94" s="83"/>
      <c r="K94" s="83"/>
      <c r="L94" s="83">
        <v>100</v>
      </c>
      <c r="M94" s="120"/>
    </row>
    <row r="95" spans="1:13" ht="16" x14ac:dyDescent="0.2">
      <c r="A95" s="142">
        <v>93</v>
      </c>
      <c r="B95" s="107" t="s">
        <v>627</v>
      </c>
      <c r="C95" s="61">
        <v>83398</v>
      </c>
      <c r="D95" s="83">
        <v>12000</v>
      </c>
      <c r="E95" s="83">
        <v>10000</v>
      </c>
      <c r="F95" s="83"/>
      <c r="G95" s="83"/>
      <c r="H95" s="83"/>
      <c r="I95" s="83">
        <v>2000</v>
      </c>
      <c r="J95" s="83"/>
      <c r="K95" s="83"/>
      <c r="L95" s="83"/>
      <c r="M95" s="120"/>
    </row>
    <row r="96" spans="1:13" ht="16" x14ac:dyDescent="0.2">
      <c r="A96" s="142">
        <v>94</v>
      </c>
      <c r="B96" s="107" t="s">
        <v>628</v>
      </c>
      <c r="C96" s="61">
        <v>83399</v>
      </c>
      <c r="D96" s="83">
        <v>50</v>
      </c>
      <c r="E96" s="83">
        <v>50</v>
      </c>
      <c r="F96" s="83"/>
      <c r="G96" s="83"/>
      <c r="H96" s="83"/>
      <c r="I96" s="83"/>
      <c r="J96" s="83"/>
      <c r="K96" s="83"/>
      <c r="L96" s="83"/>
      <c r="M96" s="120"/>
    </row>
    <row r="97" spans="1:13" ht="16" x14ac:dyDescent="0.2">
      <c r="A97" s="142">
        <v>95</v>
      </c>
      <c r="B97" s="107" t="s">
        <v>629</v>
      </c>
      <c r="C97" s="61">
        <v>83400</v>
      </c>
      <c r="D97" s="83">
        <v>50</v>
      </c>
      <c r="E97" s="83">
        <v>50</v>
      </c>
      <c r="F97" s="83"/>
      <c r="G97" s="83"/>
      <c r="H97" s="83"/>
      <c r="I97" s="83"/>
      <c r="J97" s="83"/>
      <c r="K97" s="83"/>
      <c r="L97" s="83"/>
      <c r="M97" s="120"/>
    </row>
    <row r="98" spans="1:13" ht="16" x14ac:dyDescent="0.2">
      <c r="A98" s="142">
        <v>96</v>
      </c>
      <c r="B98" s="84" t="s">
        <v>630</v>
      </c>
      <c r="C98" s="61">
        <v>322001</v>
      </c>
      <c r="D98" s="83">
        <v>1000</v>
      </c>
      <c r="E98" s="83"/>
      <c r="F98" s="83">
        <v>300</v>
      </c>
      <c r="G98" s="83"/>
      <c r="H98" s="83">
        <v>500</v>
      </c>
      <c r="I98" s="83">
        <v>200</v>
      </c>
      <c r="J98" s="83"/>
      <c r="K98" s="83"/>
      <c r="L98" s="83"/>
      <c r="M98" s="120"/>
    </row>
    <row r="99" spans="1:13" ht="16" x14ac:dyDescent="0.2">
      <c r="A99" s="142">
        <v>97</v>
      </c>
      <c r="B99" s="84" t="s">
        <v>631</v>
      </c>
      <c r="C99" s="61">
        <v>322002</v>
      </c>
      <c r="D99" s="83">
        <v>1000</v>
      </c>
      <c r="E99" s="83">
        <v>500</v>
      </c>
      <c r="F99" s="83">
        <v>500</v>
      </c>
      <c r="G99" s="83"/>
      <c r="H99" s="83"/>
      <c r="I99" s="83"/>
      <c r="J99" s="83"/>
      <c r="K99" s="83"/>
      <c r="L99" s="83"/>
      <c r="M99" s="120"/>
    </row>
    <row r="100" spans="1:13" ht="16" x14ac:dyDescent="0.2">
      <c r="A100" s="142">
        <v>98</v>
      </c>
      <c r="B100" s="84" t="s">
        <v>632</v>
      </c>
      <c r="C100" s="61">
        <v>322003</v>
      </c>
      <c r="D100" s="83">
        <v>500</v>
      </c>
      <c r="E100" s="83">
        <v>500</v>
      </c>
      <c r="F100" s="83"/>
      <c r="G100" s="83"/>
      <c r="H100" s="83"/>
      <c r="I100" s="83"/>
      <c r="J100" s="83"/>
      <c r="K100" s="83"/>
      <c r="L100" s="83"/>
      <c r="M100" s="120"/>
    </row>
    <row r="101" spans="1:13" ht="16" x14ac:dyDescent="0.2">
      <c r="A101" s="142">
        <v>99</v>
      </c>
      <c r="B101" s="84" t="s">
        <v>633</v>
      </c>
      <c r="C101" s="61">
        <v>322004</v>
      </c>
      <c r="D101" s="83">
        <v>500</v>
      </c>
      <c r="E101" s="83"/>
      <c r="F101" s="83"/>
      <c r="G101" s="83"/>
      <c r="H101" s="83"/>
      <c r="I101" s="83"/>
      <c r="J101" s="83">
        <v>500</v>
      </c>
      <c r="K101" s="83"/>
      <c r="L101" s="83"/>
      <c r="M101" s="120"/>
    </row>
    <row r="102" spans="1:13" ht="16" x14ac:dyDescent="0.2">
      <c r="A102" s="142">
        <v>100</v>
      </c>
      <c r="B102" s="84" t="s">
        <v>634</v>
      </c>
      <c r="C102" s="61">
        <v>322005</v>
      </c>
      <c r="D102" s="83">
        <v>200</v>
      </c>
      <c r="E102" s="83"/>
      <c r="F102" s="83"/>
      <c r="G102" s="83"/>
      <c r="H102" s="83"/>
      <c r="I102" s="83">
        <v>200</v>
      </c>
      <c r="J102" s="83"/>
      <c r="K102" s="83"/>
      <c r="L102" s="83"/>
      <c r="M102" s="120"/>
    </row>
    <row r="103" spans="1:13" ht="16" x14ac:dyDescent="0.2">
      <c r="A103" s="142">
        <v>101</v>
      </c>
      <c r="B103" s="84" t="s">
        <v>635</v>
      </c>
      <c r="C103" s="61">
        <v>322006</v>
      </c>
      <c r="D103" s="83">
        <v>200</v>
      </c>
      <c r="E103" s="83">
        <v>200</v>
      </c>
      <c r="F103" s="83"/>
      <c r="G103" s="83"/>
      <c r="H103" s="83"/>
      <c r="I103" s="83"/>
      <c r="J103" s="83"/>
      <c r="K103" s="83"/>
      <c r="L103" s="83"/>
      <c r="M103" s="120"/>
    </row>
    <row r="104" spans="1:13" ht="16" x14ac:dyDescent="0.2">
      <c r="A104" s="142">
        <v>102</v>
      </c>
      <c r="B104" s="84" t="s">
        <v>636</v>
      </c>
      <c r="C104" s="61">
        <v>322007</v>
      </c>
      <c r="D104" s="83">
        <v>50</v>
      </c>
      <c r="E104" s="83">
        <v>50</v>
      </c>
      <c r="F104" s="83"/>
      <c r="G104" s="83"/>
      <c r="H104" s="83"/>
      <c r="I104" s="83"/>
      <c r="J104" s="83"/>
      <c r="K104" s="83"/>
      <c r="L104" s="83"/>
      <c r="M104" s="120"/>
    </row>
    <row r="105" spans="1:13" ht="16" x14ac:dyDescent="0.2">
      <c r="A105" s="142">
        <v>103</v>
      </c>
      <c r="B105" s="84" t="s">
        <v>637</v>
      </c>
      <c r="C105" s="61">
        <v>322008</v>
      </c>
      <c r="D105" s="83">
        <v>200</v>
      </c>
      <c r="E105" s="83"/>
      <c r="F105" s="83"/>
      <c r="G105" s="83"/>
      <c r="H105" s="83"/>
      <c r="I105" s="83">
        <v>200</v>
      </c>
      <c r="J105" s="83"/>
      <c r="K105" s="83"/>
      <c r="L105" s="83"/>
      <c r="M105" s="120"/>
    </row>
    <row r="106" spans="1:13" ht="16" x14ac:dyDescent="0.2">
      <c r="A106" s="142">
        <v>104</v>
      </c>
      <c r="B106" s="84" t="s">
        <v>638</v>
      </c>
      <c r="C106" s="61">
        <v>322009</v>
      </c>
      <c r="D106" s="83">
        <v>150</v>
      </c>
      <c r="E106" s="83"/>
      <c r="F106" s="83"/>
      <c r="G106" s="83"/>
      <c r="H106" s="83"/>
      <c r="I106" s="83"/>
      <c r="J106" s="83"/>
      <c r="K106" s="83"/>
      <c r="L106" s="83">
        <v>150</v>
      </c>
      <c r="M106" s="120"/>
    </row>
    <row r="107" spans="1:13" ht="16" x14ac:dyDescent="0.2">
      <c r="A107" s="142">
        <v>105</v>
      </c>
      <c r="B107" s="84" t="s">
        <v>639</v>
      </c>
      <c r="C107" s="61">
        <v>322010</v>
      </c>
      <c r="D107" s="83">
        <v>200</v>
      </c>
      <c r="E107" s="83">
        <v>200</v>
      </c>
      <c r="F107" s="83"/>
      <c r="G107" s="83"/>
      <c r="H107" s="83"/>
      <c r="I107" s="83"/>
      <c r="J107" s="83"/>
      <c r="K107" s="83"/>
      <c r="L107" s="83"/>
      <c r="M107" s="120"/>
    </row>
    <row r="108" spans="1:13" ht="16" x14ac:dyDescent="0.2">
      <c r="A108" s="142">
        <v>106</v>
      </c>
      <c r="B108" s="84" t="s">
        <v>492</v>
      </c>
      <c r="C108" s="61">
        <v>322011</v>
      </c>
      <c r="D108" s="83">
        <v>100</v>
      </c>
      <c r="E108" s="83"/>
      <c r="F108" s="83">
        <v>100</v>
      </c>
      <c r="G108" s="83"/>
      <c r="H108" s="83"/>
      <c r="I108" s="83"/>
      <c r="J108" s="83"/>
      <c r="K108" s="83"/>
      <c r="L108" s="83"/>
      <c r="M108" s="120"/>
    </row>
    <row r="109" spans="1:13" ht="16" x14ac:dyDescent="0.2">
      <c r="A109" s="142">
        <v>107</v>
      </c>
      <c r="B109" s="84" t="s">
        <v>640</v>
      </c>
      <c r="C109" s="61">
        <v>322012</v>
      </c>
      <c r="D109" s="83">
        <v>400</v>
      </c>
      <c r="E109" s="83"/>
      <c r="F109" s="83"/>
      <c r="G109" s="83"/>
      <c r="H109" s="83"/>
      <c r="I109" s="83">
        <v>400</v>
      </c>
      <c r="J109" s="83"/>
      <c r="K109" s="83"/>
      <c r="L109" s="83"/>
      <c r="M109" s="120"/>
    </row>
    <row r="110" spans="1:13" ht="16" x14ac:dyDescent="0.2">
      <c r="A110" s="142">
        <v>108</v>
      </c>
      <c r="B110" s="84" t="s">
        <v>641</v>
      </c>
      <c r="C110" s="61">
        <v>322013</v>
      </c>
      <c r="D110" s="83">
        <v>14</v>
      </c>
      <c r="E110" s="83"/>
      <c r="F110" s="83">
        <v>14</v>
      </c>
      <c r="G110" s="83"/>
      <c r="H110" s="83"/>
      <c r="I110" s="83"/>
      <c r="J110" s="83"/>
      <c r="K110" s="83"/>
      <c r="L110" s="83"/>
      <c r="M110" s="120"/>
    </row>
    <row r="111" spans="1:13" ht="16" x14ac:dyDescent="0.2">
      <c r="A111" s="142">
        <v>109</v>
      </c>
      <c r="B111" s="84" t="s">
        <v>642</v>
      </c>
      <c r="C111" s="61">
        <v>322014</v>
      </c>
      <c r="D111" s="83">
        <v>200</v>
      </c>
      <c r="E111" s="83"/>
      <c r="F111" s="83"/>
      <c r="G111" s="83"/>
      <c r="H111" s="83"/>
      <c r="I111" s="83"/>
      <c r="J111" s="83"/>
      <c r="K111" s="83"/>
      <c r="L111" s="83">
        <v>200</v>
      </c>
      <c r="M111" s="120"/>
    </row>
    <row r="112" spans="1:13" ht="16" x14ac:dyDescent="0.2">
      <c r="A112" s="142">
        <v>110</v>
      </c>
      <c r="B112" s="84" t="s">
        <v>643</v>
      </c>
      <c r="C112" s="61">
        <v>322015</v>
      </c>
      <c r="D112" s="83">
        <v>50</v>
      </c>
      <c r="E112" s="83">
        <v>50</v>
      </c>
      <c r="F112" s="83"/>
      <c r="G112" s="83"/>
      <c r="H112" s="83"/>
      <c r="I112" s="83"/>
      <c r="J112" s="83"/>
      <c r="K112" s="83"/>
      <c r="L112" s="83"/>
      <c r="M112" s="120"/>
    </row>
    <row r="113" spans="1:13" ht="16" x14ac:dyDescent="0.2">
      <c r="A113" s="142">
        <v>111</v>
      </c>
      <c r="B113" s="84" t="s">
        <v>644</v>
      </c>
      <c r="C113" s="61">
        <v>322016</v>
      </c>
      <c r="D113" s="83">
        <v>1000</v>
      </c>
      <c r="E113" s="83"/>
      <c r="F113" s="83">
        <v>1000</v>
      </c>
      <c r="G113" s="83"/>
      <c r="H113" s="83"/>
      <c r="I113" s="83"/>
      <c r="J113" s="83"/>
      <c r="K113" s="83"/>
      <c r="L113" s="83"/>
      <c r="M113" s="120"/>
    </row>
    <row r="114" spans="1:13" ht="16" x14ac:dyDescent="0.2">
      <c r="A114" s="142">
        <v>112</v>
      </c>
      <c r="B114" s="84" t="s">
        <v>645</v>
      </c>
      <c r="C114" s="61">
        <v>322017</v>
      </c>
      <c r="D114" s="83">
        <v>50</v>
      </c>
      <c r="E114" s="83">
        <v>50</v>
      </c>
      <c r="F114" s="83"/>
      <c r="G114" s="83"/>
      <c r="H114" s="83"/>
      <c r="I114" s="83"/>
      <c r="J114" s="83"/>
      <c r="K114" s="83"/>
      <c r="L114" s="83"/>
      <c r="M114" s="120"/>
    </row>
    <row r="115" spans="1:13" ht="16" x14ac:dyDescent="0.2">
      <c r="A115" s="142">
        <v>113</v>
      </c>
      <c r="B115" s="84" t="s">
        <v>646</v>
      </c>
      <c r="C115" s="61">
        <v>322018</v>
      </c>
      <c r="D115" s="83">
        <v>50</v>
      </c>
      <c r="E115" s="83">
        <v>50</v>
      </c>
      <c r="F115" s="83"/>
      <c r="G115" s="83"/>
      <c r="H115" s="83"/>
      <c r="I115" s="83"/>
      <c r="J115" s="83"/>
      <c r="K115" s="83"/>
      <c r="L115" s="83"/>
      <c r="M115" s="120"/>
    </row>
    <row r="116" spans="1:13" ht="16" x14ac:dyDescent="0.2">
      <c r="A116" s="142">
        <v>114</v>
      </c>
      <c r="B116" s="84" t="s">
        <v>647</v>
      </c>
      <c r="C116" s="61">
        <v>322019</v>
      </c>
      <c r="D116" s="83">
        <v>103</v>
      </c>
      <c r="E116" s="83">
        <v>103</v>
      </c>
      <c r="F116" s="83"/>
      <c r="G116" s="83"/>
      <c r="H116" s="83"/>
      <c r="I116" s="83"/>
      <c r="J116" s="83"/>
      <c r="K116" s="83"/>
      <c r="L116" s="83"/>
      <c r="M116" s="120"/>
    </row>
    <row r="117" spans="1:13" ht="16" x14ac:dyDescent="0.2">
      <c r="A117" s="142">
        <v>115</v>
      </c>
      <c r="B117" s="84" t="s">
        <v>528</v>
      </c>
      <c r="C117" s="61">
        <v>322020</v>
      </c>
      <c r="D117" s="83">
        <v>100</v>
      </c>
      <c r="E117" s="83">
        <v>100</v>
      </c>
      <c r="F117" s="83"/>
      <c r="G117" s="83"/>
      <c r="H117" s="83"/>
      <c r="I117" s="83"/>
      <c r="J117" s="83"/>
      <c r="K117" s="83"/>
      <c r="L117" s="83"/>
      <c r="M117" s="120"/>
    </row>
    <row r="118" spans="1:13" ht="16" x14ac:dyDescent="0.2">
      <c r="A118" s="142">
        <v>116</v>
      </c>
      <c r="B118" s="84" t="s">
        <v>648</v>
      </c>
      <c r="C118" s="61">
        <v>322021</v>
      </c>
      <c r="D118" s="83">
        <v>30</v>
      </c>
      <c r="E118" s="83">
        <v>30</v>
      </c>
      <c r="F118" s="83"/>
      <c r="G118" s="83"/>
      <c r="H118" s="83"/>
      <c r="I118" s="83"/>
      <c r="J118" s="83"/>
      <c r="K118" s="83"/>
      <c r="L118" s="83"/>
      <c r="M118" s="120"/>
    </row>
    <row r="119" spans="1:13" ht="16" x14ac:dyDescent="0.2">
      <c r="A119" s="142">
        <v>117</v>
      </c>
      <c r="B119" s="84" t="s">
        <v>431</v>
      </c>
      <c r="C119" s="61">
        <v>322022</v>
      </c>
      <c r="D119" s="83">
        <v>762</v>
      </c>
      <c r="E119" s="83">
        <v>762</v>
      </c>
      <c r="F119" s="83"/>
      <c r="G119" s="83"/>
      <c r="H119" s="83"/>
      <c r="I119" s="83"/>
      <c r="J119" s="83"/>
      <c r="K119" s="83"/>
      <c r="L119" s="83"/>
      <c r="M119" s="120"/>
    </row>
    <row r="120" spans="1:13" ht="16" x14ac:dyDescent="0.2">
      <c r="A120" s="142">
        <v>118</v>
      </c>
      <c r="B120" s="84" t="s">
        <v>649</v>
      </c>
      <c r="C120" s="61">
        <v>322023</v>
      </c>
      <c r="D120" s="83">
        <v>3805</v>
      </c>
      <c r="E120" s="83">
        <v>3805</v>
      </c>
      <c r="F120" s="83"/>
      <c r="G120" s="83"/>
      <c r="H120" s="83"/>
      <c r="I120" s="83"/>
      <c r="J120" s="83"/>
      <c r="K120" s="83"/>
      <c r="L120" s="83"/>
      <c r="M120" s="120"/>
    </row>
    <row r="121" spans="1:13" ht="16" x14ac:dyDescent="0.2">
      <c r="A121" s="142">
        <v>119</v>
      </c>
      <c r="B121" s="84" t="s">
        <v>650</v>
      </c>
      <c r="C121" s="61">
        <v>322024</v>
      </c>
      <c r="D121" s="83">
        <v>100</v>
      </c>
      <c r="E121" s="83"/>
      <c r="F121" s="83"/>
      <c r="G121" s="83"/>
      <c r="H121" s="83"/>
      <c r="I121" s="83"/>
      <c r="J121" s="83">
        <v>100</v>
      </c>
      <c r="K121" s="83"/>
      <c r="L121" s="83"/>
      <c r="M121" s="120"/>
    </row>
    <row r="122" spans="1:13" ht="16" x14ac:dyDescent="0.2">
      <c r="A122" s="142">
        <v>120</v>
      </c>
      <c r="B122" s="84" t="s">
        <v>651</v>
      </c>
      <c r="C122" s="61">
        <v>322025</v>
      </c>
      <c r="D122" s="83">
        <v>100</v>
      </c>
      <c r="E122" s="83"/>
      <c r="F122" s="83">
        <v>100</v>
      </c>
      <c r="G122" s="83"/>
      <c r="H122" s="83"/>
      <c r="I122" s="83"/>
      <c r="J122" s="83"/>
      <c r="K122" s="83"/>
      <c r="L122" s="83"/>
      <c r="M122" s="120"/>
    </row>
    <row r="123" spans="1:13" ht="16" x14ac:dyDescent="0.2">
      <c r="A123" s="142">
        <v>121</v>
      </c>
      <c r="B123" s="84" t="s">
        <v>524</v>
      </c>
      <c r="C123" s="61">
        <v>322026</v>
      </c>
      <c r="D123" s="83">
        <v>50</v>
      </c>
      <c r="E123" s="83">
        <v>50</v>
      </c>
      <c r="F123" s="83"/>
      <c r="G123" s="83"/>
      <c r="H123" s="83"/>
      <c r="I123" s="83"/>
      <c r="J123" s="83"/>
      <c r="K123" s="83"/>
      <c r="L123" s="83"/>
      <c r="M123" s="120"/>
    </row>
    <row r="124" spans="1:13" ht="16" x14ac:dyDescent="0.2">
      <c r="A124" s="142">
        <v>122</v>
      </c>
      <c r="B124" s="84" t="s">
        <v>652</v>
      </c>
      <c r="C124" s="61">
        <v>322027</v>
      </c>
      <c r="D124" s="83">
        <v>26900</v>
      </c>
      <c r="E124" s="83">
        <v>18200</v>
      </c>
      <c r="F124" s="83">
        <v>8700</v>
      </c>
      <c r="G124" s="83"/>
      <c r="H124" s="83"/>
      <c r="I124" s="83"/>
      <c r="J124" s="83"/>
      <c r="K124" s="83"/>
      <c r="L124" s="83"/>
      <c r="M124" s="120"/>
    </row>
    <row r="125" spans="1:13" ht="16" x14ac:dyDescent="0.2">
      <c r="A125" s="142">
        <v>123</v>
      </c>
      <c r="B125" s="84" t="s">
        <v>653</v>
      </c>
      <c r="C125" s="61">
        <v>322028</v>
      </c>
      <c r="D125" s="83">
        <v>20</v>
      </c>
      <c r="E125" s="83"/>
      <c r="F125" s="83">
        <v>20</v>
      </c>
      <c r="G125" s="83"/>
      <c r="H125" s="83"/>
      <c r="I125" s="83"/>
      <c r="J125" s="83"/>
      <c r="K125" s="83"/>
      <c r="L125" s="83"/>
      <c r="M125" s="120"/>
    </row>
    <row r="126" spans="1:13" ht="16" x14ac:dyDescent="0.2">
      <c r="A126" s="142">
        <v>124</v>
      </c>
      <c r="B126" s="84" t="s">
        <v>654</v>
      </c>
      <c r="C126" s="61">
        <v>322029</v>
      </c>
      <c r="D126" s="83">
        <v>70</v>
      </c>
      <c r="E126" s="83"/>
      <c r="F126" s="83">
        <v>70</v>
      </c>
      <c r="G126" s="83"/>
      <c r="H126" s="83"/>
      <c r="I126" s="83"/>
      <c r="J126" s="83"/>
      <c r="K126" s="83"/>
      <c r="L126" s="83"/>
      <c r="M126" s="120"/>
    </row>
    <row r="127" spans="1:13" ht="16" x14ac:dyDescent="0.2">
      <c r="A127" s="142">
        <v>125</v>
      </c>
      <c r="B127" s="84" t="s">
        <v>655</v>
      </c>
      <c r="C127" s="61">
        <v>322030</v>
      </c>
      <c r="D127" s="83">
        <v>50</v>
      </c>
      <c r="E127" s="83"/>
      <c r="F127" s="83">
        <v>50</v>
      </c>
      <c r="G127" s="83"/>
      <c r="H127" s="83"/>
      <c r="I127" s="83"/>
      <c r="J127" s="83"/>
      <c r="K127" s="83"/>
      <c r="L127" s="83"/>
      <c r="M127" s="120"/>
    </row>
    <row r="128" spans="1:13" ht="16" x14ac:dyDescent="0.2">
      <c r="A128" s="142">
        <v>126</v>
      </c>
      <c r="B128" s="84" t="s">
        <v>656</v>
      </c>
      <c r="C128" s="61">
        <v>322031</v>
      </c>
      <c r="D128" s="83">
        <v>100</v>
      </c>
      <c r="E128" s="83">
        <v>100</v>
      </c>
      <c r="F128" s="83"/>
      <c r="G128" s="83"/>
      <c r="H128" s="83"/>
      <c r="I128" s="83"/>
      <c r="J128" s="83"/>
      <c r="K128" s="83"/>
      <c r="L128" s="83"/>
      <c r="M128" s="120"/>
    </row>
    <row r="129" spans="1:13" ht="16" x14ac:dyDescent="0.2">
      <c r="A129" s="142">
        <v>127</v>
      </c>
      <c r="B129" s="84" t="s">
        <v>657</v>
      </c>
      <c r="C129" s="61">
        <v>322032</v>
      </c>
      <c r="D129" s="83">
        <v>50</v>
      </c>
      <c r="E129" s="83"/>
      <c r="F129" s="83"/>
      <c r="G129" s="83"/>
      <c r="H129" s="83"/>
      <c r="I129" s="83"/>
      <c r="J129" s="83"/>
      <c r="K129" s="83"/>
      <c r="L129" s="83">
        <v>50</v>
      </c>
      <c r="M129" s="120"/>
    </row>
    <row r="130" spans="1:13" ht="16" x14ac:dyDescent="0.2">
      <c r="A130" s="142">
        <v>128</v>
      </c>
      <c r="B130" s="84" t="s">
        <v>658</v>
      </c>
      <c r="C130" s="61">
        <v>322033</v>
      </c>
      <c r="D130" s="83">
        <v>100</v>
      </c>
      <c r="E130" s="83"/>
      <c r="F130" s="83">
        <v>100</v>
      </c>
      <c r="G130" s="83"/>
      <c r="H130" s="83"/>
      <c r="I130" s="83"/>
      <c r="J130" s="83"/>
      <c r="K130" s="83"/>
      <c r="L130" s="83"/>
      <c r="M130" s="120"/>
    </row>
    <row r="131" spans="1:13" ht="16" x14ac:dyDescent="0.2">
      <c r="A131" s="142">
        <v>129</v>
      </c>
      <c r="B131" s="84" t="s">
        <v>659</v>
      </c>
      <c r="C131" s="61">
        <v>322034</v>
      </c>
      <c r="D131" s="83">
        <v>100</v>
      </c>
      <c r="E131" s="83"/>
      <c r="F131" s="83"/>
      <c r="G131" s="83">
        <v>100</v>
      </c>
      <c r="H131" s="83"/>
      <c r="I131" s="83"/>
      <c r="J131" s="83"/>
      <c r="K131" s="83"/>
      <c r="L131" s="83"/>
      <c r="M131" s="120"/>
    </row>
    <row r="132" spans="1:13" ht="16" x14ac:dyDescent="0.2">
      <c r="A132" s="142">
        <v>130</v>
      </c>
      <c r="B132" s="84" t="s">
        <v>660</v>
      </c>
      <c r="C132" s="61">
        <v>322035</v>
      </c>
      <c r="D132" s="83">
        <v>50</v>
      </c>
      <c r="E132" s="83">
        <v>50</v>
      </c>
      <c r="F132" s="83"/>
      <c r="G132" s="83"/>
      <c r="H132" s="83"/>
      <c r="I132" s="83"/>
      <c r="J132" s="83"/>
      <c r="K132" s="83"/>
      <c r="L132" s="83"/>
      <c r="M132" s="120"/>
    </row>
    <row r="133" spans="1:13" ht="16" x14ac:dyDescent="0.2">
      <c r="A133" s="142">
        <v>131</v>
      </c>
      <c r="B133" s="84" t="s">
        <v>661</v>
      </c>
      <c r="C133" s="61">
        <v>322036</v>
      </c>
      <c r="D133" s="83">
        <v>500</v>
      </c>
      <c r="E133" s="83">
        <v>500</v>
      </c>
      <c r="F133" s="83"/>
      <c r="G133" s="83"/>
      <c r="H133" s="83"/>
      <c r="I133" s="83"/>
      <c r="J133" s="83"/>
      <c r="K133" s="83"/>
      <c r="L133" s="83"/>
      <c r="M133" s="120"/>
    </row>
    <row r="134" spans="1:13" ht="16" x14ac:dyDescent="0.2">
      <c r="A134" s="142">
        <v>132</v>
      </c>
      <c r="B134" s="84" t="s">
        <v>662</v>
      </c>
      <c r="C134" s="61">
        <v>322037</v>
      </c>
      <c r="D134" s="83">
        <v>50</v>
      </c>
      <c r="E134" s="83">
        <v>50</v>
      </c>
      <c r="F134" s="83"/>
      <c r="G134" s="83"/>
      <c r="H134" s="83"/>
      <c r="I134" s="83"/>
      <c r="J134" s="83"/>
      <c r="K134" s="83"/>
      <c r="L134" s="83"/>
      <c r="M134" s="120"/>
    </row>
    <row r="135" spans="1:13" ht="16" x14ac:dyDescent="0.2">
      <c r="A135" s="142">
        <v>133</v>
      </c>
      <c r="B135" s="84" t="s">
        <v>539</v>
      </c>
      <c r="C135" s="61">
        <v>322038</v>
      </c>
      <c r="D135" s="83">
        <v>100</v>
      </c>
      <c r="E135" s="83">
        <v>100</v>
      </c>
      <c r="F135" s="83"/>
      <c r="G135" s="83"/>
      <c r="H135" s="83"/>
      <c r="I135" s="83"/>
      <c r="J135" s="83"/>
      <c r="K135" s="83"/>
      <c r="L135" s="83"/>
      <c r="M135" s="120"/>
    </row>
    <row r="136" spans="1:13" ht="16" x14ac:dyDescent="0.2">
      <c r="A136" s="142">
        <v>134</v>
      </c>
      <c r="B136" s="84" t="s">
        <v>663</v>
      </c>
      <c r="C136" s="61">
        <v>322039</v>
      </c>
      <c r="D136" s="83">
        <v>20</v>
      </c>
      <c r="E136" s="83"/>
      <c r="F136" s="83">
        <v>20</v>
      </c>
      <c r="G136" s="83"/>
      <c r="H136" s="83"/>
      <c r="I136" s="83"/>
      <c r="J136" s="83"/>
      <c r="K136" s="83"/>
      <c r="L136" s="83"/>
      <c r="M136" s="120"/>
    </row>
    <row r="137" spans="1:13" ht="16" x14ac:dyDescent="0.2">
      <c r="A137" s="142">
        <v>135</v>
      </c>
      <c r="B137" s="84" t="s">
        <v>664</v>
      </c>
      <c r="C137" s="61">
        <v>322040</v>
      </c>
      <c r="D137" s="83">
        <v>5000</v>
      </c>
      <c r="E137" s="83">
        <v>5000</v>
      </c>
      <c r="F137" s="83"/>
      <c r="G137" s="83"/>
      <c r="H137" s="83"/>
      <c r="I137" s="83"/>
      <c r="J137" s="83"/>
      <c r="K137" s="83"/>
      <c r="L137" s="83"/>
      <c r="M137" s="120"/>
    </row>
    <row r="138" spans="1:13" ht="16" x14ac:dyDescent="0.2">
      <c r="A138" s="142">
        <v>136</v>
      </c>
      <c r="B138" s="84" t="s">
        <v>665</v>
      </c>
      <c r="C138" s="61">
        <v>322041</v>
      </c>
      <c r="D138" s="83">
        <v>50</v>
      </c>
      <c r="E138" s="83">
        <v>50</v>
      </c>
      <c r="F138" s="83"/>
      <c r="G138" s="83"/>
      <c r="H138" s="83"/>
      <c r="I138" s="83"/>
      <c r="J138" s="83"/>
      <c r="K138" s="83"/>
      <c r="L138" s="83"/>
      <c r="M138" s="120"/>
    </row>
    <row r="139" spans="1:13" ht="16" x14ac:dyDescent="0.2">
      <c r="A139" s="142">
        <v>137</v>
      </c>
      <c r="B139" s="84" t="s">
        <v>666</v>
      </c>
      <c r="C139" s="61">
        <v>322042</v>
      </c>
      <c r="D139" s="83">
        <v>1500</v>
      </c>
      <c r="E139" s="83">
        <v>1500</v>
      </c>
      <c r="F139" s="83"/>
      <c r="G139" s="83"/>
      <c r="H139" s="83"/>
      <c r="I139" s="83"/>
      <c r="J139" s="83"/>
      <c r="K139" s="83"/>
      <c r="L139" s="83"/>
      <c r="M139" s="120"/>
    </row>
    <row r="140" spans="1:13" ht="16" x14ac:dyDescent="0.2">
      <c r="A140" s="142">
        <v>138</v>
      </c>
      <c r="B140" s="84" t="s">
        <v>667</v>
      </c>
      <c r="C140" s="61">
        <v>322043</v>
      </c>
      <c r="D140" s="83">
        <v>50</v>
      </c>
      <c r="E140" s="83">
        <v>50</v>
      </c>
      <c r="F140" s="83"/>
      <c r="G140" s="83"/>
      <c r="H140" s="83"/>
      <c r="I140" s="83"/>
      <c r="J140" s="83"/>
      <c r="K140" s="83"/>
      <c r="L140" s="83"/>
      <c r="M140" s="120"/>
    </row>
    <row r="141" spans="1:13" ht="16" x14ac:dyDescent="0.2">
      <c r="A141" s="142">
        <v>139</v>
      </c>
      <c r="B141" s="84" t="s">
        <v>668</v>
      </c>
      <c r="C141" s="61">
        <v>322044</v>
      </c>
      <c r="D141" s="83">
        <v>800</v>
      </c>
      <c r="E141" s="83">
        <v>800</v>
      </c>
      <c r="F141" s="83"/>
      <c r="G141" s="83"/>
      <c r="H141" s="83"/>
      <c r="I141" s="83"/>
      <c r="J141" s="83"/>
      <c r="K141" s="83"/>
      <c r="L141" s="83"/>
      <c r="M141" s="120"/>
    </row>
    <row r="142" spans="1:13" ht="16" x14ac:dyDescent="0.2">
      <c r="A142" s="142">
        <v>140</v>
      </c>
      <c r="B142" s="84" t="s">
        <v>532</v>
      </c>
      <c r="C142" s="61">
        <v>322045</v>
      </c>
      <c r="D142" s="83">
        <v>1743</v>
      </c>
      <c r="E142" s="83">
        <v>1743</v>
      </c>
      <c r="F142" s="83"/>
      <c r="G142" s="83"/>
      <c r="H142" s="83"/>
      <c r="I142" s="83"/>
      <c r="J142" s="83"/>
      <c r="K142" s="83"/>
      <c r="L142" s="83"/>
      <c r="M142" s="120"/>
    </row>
    <row r="143" spans="1:13" ht="16" x14ac:dyDescent="0.2">
      <c r="A143" s="142">
        <v>141</v>
      </c>
      <c r="B143" s="84" t="s">
        <v>669</v>
      </c>
      <c r="C143" s="61">
        <v>322046</v>
      </c>
      <c r="D143" s="83">
        <v>20</v>
      </c>
      <c r="E143" s="83">
        <v>20</v>
      </c>
      <c r="F143" s="83"/>
      <c r="G143" s="83"/>
      <c r="H143" s="83"/>
      <c r="I143" s="83"/>
      <c r="J143" s="83"/>
      <c r="K143" s="83"/>
      <c r="L143" s="83"/>
      <c r="M143" s="120"/>
    </row>
    <row r="144" spans="1:13" ht="16" x14ac:dyDescent="0.2">
      <c r="A144" s="142">
        <v>142</v>
      </c>
      <c r="B144" s="84" t="s">
        <v>670</v>
      </c>
      <c r="C144" s="61">
        <v>322047</v>
      </c>
      <c r="D144" s="83">
        <v>100</v>
      </c>
      <c r="E144" s="83"/>
      <c r="F144" s="83">
        <v>100</v>
      </c>
      <c r="G144" s="83"/>
      <c r="H144" s="83"/>
      <c r="I144" s="83"/>
      <c r="J144" s="83"/>
      <c r="K144" s="83"/>
      <c r="L144" s="83"/>
      <c r="M144" s="120"/>
    </row>
    <row r="145" spans="1:13" ht="16" x14ac:dyDescent="0.2">
      <c r="A145" s="142">
        <v>143</v>
      </c>
      <c r="B145" s="84" t="s">
        <v>671</v>
      </c>
      <c r="C145" s="61">
        <v>322048</v>
      </c>
      <c r="D145" s="83">
        <v>500</v>
      </c>
      <c r="E145" s="83"/>
      <c r="F145" s="83"/>
      <c r="G145" s="83"/>
      <c r="H145" s="83"/>
      <c r="I145" s="83"/>
      <c r="J145" s="83"/>
      <c r="K145" s="83"/>
      <c r="L145" s="83">
        <v>500</v>
      </c>
      <c r="M145" s="120"/>
    </row>
    <row r="146" spans="1:13" ht="16" x14ac:dyDescent="0.2">
      <c r="A146" s="142"/>
      <c r="B146" s="84"/>
      <c r="C146" s="61"/>
      <c r="D146" s="83"/>
      <c r="E146" s="83"/>
      <c r="F146" s="83"/>
      <c r="G146" s="83"/>
      <c r="H146" s="83"/>
      <c r="I146" s="83"/>
      <c r="J146" s="83"/>
      <c r="K146" s="83"/>
      <c r="L146" s="83"/>
      <c r="M146" s="120"/>
    </row>
    <row r="147" spans="1:13" ht="16" x14ac:dyDescent="0.2">
      <c r="A147" s="142"/>
      <c r="B147" s="84"/>
      <c r="C147" s="61"/>
      <c r="D147" s="83"/>
      <c r="E147" s="83"/>
      <c r="F147" s="83"/>
      <c r="G147" s="83"/>
      <c r="H147" s="83"/>
      <c r="I147" s="83"/>
      <c r="J147" s="83"/>
      <c r="K147" s="83"/>
      <c r="L147" s="83"/>
      <c r="M147" s="120"/>
    </row>
    <row r="148" spans="1:13" ht="16" x14ac:dyDescent="0.2">
      <c r="A148" s="142"/>
      <c r="B148" s="84"/>
      <c r="C148" s="61"/>
      <c r="D148" s="83"/>
      <c r="E148" s="83"/>
      <c r="F148" s="83"/>
      <c r="G148" s="83"/>
      <c r="H148" s="83"/>
      <c r="I148" s="83"/>
      <c r="J148" s="83"/>
      <c r="K148" s="83"/>
      <c r="L148" s="83"/>
      <c r="M148" s="120"/>
    </row>
    <row r="149" spans="1:13" ht="16" x14ac:dyDescent="0.2">
      <c r="A149" s="142"/>
      <c r="B149" s="84"/>
      <c r="C149" s="61"/>
      <c r="D149" s="83"/>
      <c r="E149" s="83"/>
      <c r="F149" s="83"/>
      <c r="G149" s="83"/>
      <c r="H149" s="83"/>
      <c r="I149" s="83"/>
      <c r="J149" s="83"/>
      <c r="K149" s="83"/>
      <c r="L149" s="83"/>
      <c r="M149" s="120"/>
    </row>
    <row r="150" spans="1:13" ht="16" x14ac:dyDescent="0.2">
      <c r="A150" s="142"/>
      <c r="B150" s="84"/>
      <c r="C150" s="61"/>
      <c r="D150" s="83"/>
      <c r="E150" s="83"/>
      <c r="F150" s="83"/>
      <c r="G150" s="83"/>
      <c r="H150" s="83"/>
      <c r="I150" s="83"/>
      <c r="J150" s="83"/>
      <c r="K150" s="83"/>
      <c r="L150" s="83"/>
      <c r="M150" s="120"/>
    </row>
    <row r="151" spans="1:13" ht="16" x14ac:dyDescent="0.2">
      <c r="A151" s="142"/>
      <c r="B151" s="84"/>
      <c r="C151" s="143"/>
      <c r="D151" s="83"/>
      <c r="E151" s="83"/>
      <c r="F151" s="83"/>
      <c r="G151" s="83"/>
      <c r="H151" s="83"/>
      <c r="I151" s="83"/>
      <c r="J151" s="83"/>
      <c r="K151" s="83"/>
      <c r="L151" s="83"/>
      <c r="M151" s="120"/>
    </row>
    <row r="152" spans="1:13" ht="16" x14ac:dyDescent="0.2">
      <c r="A152" s="142"/>
      <c r="B152" s="84"/>
      <c r="C152" s="143"/>
      <c r="D152" s="83">
        <f t="shared" ref="D152:L152" si="0">SUM(D3:D151)</f>
        <v>134370</v>
      </c>
      <c r="E152" s="83">
        <f t="shared" si="0"/>
        <v>103901</v>
      </c>
      <c r="F152" s="83">
        <f t="shared" si="0"/>
        <v>17659</v>
      </c>
      <c r="G152" s="83">
        <f t="shared" si="0"/>
        <v>740</v>
      </c>
      <c r="H152" s="83">
        <f t="shared" si="0"/>
        <v>3010</v>
      </c>
      <c r="I152" s="83">
        <f t="shared" si="0"/>
        <v>6650</v>
      </c>
      <c r="J152" s="83">
        <f t="shared" si="0"/>
        <v>700</v>
      </c>
      <c r="K152" s="83">
        <f t="shared" si="0"/>
        <v>160</v>
      </c>
      <c r="L152" s="83">
        <f t="shared" si="0"/>
        <v>1550</v>
      </c>
      <c r="M152" s="120"/>
    </row>
    <row r="153" spans="1:13" ht="16" x14ac:dyDescent="0.2">
      <c r="A153" s="142"/>
      <c r="M153" s="120"/>
    </row>
    <row r="154" spans="1:13" ht="16" x14ac:dyDescent="0.2">
      <c r="A154" s="142"/>
      <c r="M154" s="120"/>
    </row>
    <row r="155" spans="1:13" ht="16" x14ac:dyDescent="0.2">
      <c r="A155" s="142"/>
      <c r="B155" s="84" t="s">
        <v>130</v>
      </c>
      <c r="C155" s="143"/>
      <c r="M155" s="120"/>
    </row>
    <row r="156" spans="1:13" ht="16" x14ac:dyDescent="0.2">
      <c r="A156" s="142"/>
      <c r="B156" s="84" t="s">
        <v>131</v>
      </c>
      <c r="C156" s="143"/>
      <c r="M156" s="120"/>
    </row>
    <row r="157" spans="1:13" ht="16" x14ac:dyDescent="0.2">
      <c r="A157" s="142"/>
      <c r="B157" s="84" t="s">
        <v>4</v>
      </c>
      <c r="C157" s="115">
        <f>E152</f>
        <v>103901</v>
      </c>
      <c r="M157" s="120"/>
    </row>
    <row r="158" spans="1:13" ht="16" x14ac:dyDescent="0.2">
      <c r="A158" s="142"/>
      <c r="B158" s="84" t="s">
        <v>132</v>
      </c>
      <c r="C158" s="115">
        <f>F152/2</f>
        <v>8829.5</v>
      </c>
      <c r="L158" s="85"/>
      <c r="M158" s="120"/>
    </row>
    <row r="159" spans="1:13" ht="16" x14ac:dyDescent="0.2">
      <c r="B159" s="84" t="s">
        <v>133</v>
      </c>
      <c r="C159" s="115">
        <f>G152</f>
        <v>740</v>
      </c>
      <c r="L159" s="85"/>
      <c r="M159" s="120"/>
    </row>
    <row r="160" spans="1:13" ht="16" x14ac:dyDescent="0.2">
      <c r="B160" s="84" t="s">
        <v>6</v>
      </c>
      <c r="C160" s="115">
        <f>J152/2</f>
        <v>350</v>
      </c>
      <c r="L160" s="85"/>
      <c r="M160" s="120"/>
    </row>
    <row r="161" spans="2:13" ht="16" x14ac:dyDescent="0.2">
      <c r="B161" s="84" t="s">
        <v>134</v>
      </c>
      <c r="C161" s="115">
        <v>0</v>
      </c>
      <c r="L161" s="85"/>
      <c r="M161" s="120"/>
    </row>
    <row r="162" spans="2:13" ht="16" x14ac:dyDescent="0.2">
      <c r="B162" s="84" t="s">
        <v>135</v>
      </c>
      <c r="C162" s="115">
        <v>0</v>
      </c>
      <c r="L162" s="85"/>
      <c r="M162" s="120"/>
    </row>
    <row r="163" spans="2:13" ht="16" x14ac:dyDescent="0.2">
      <c r="B163" s="84" t="s">
        <v>3</v>
      </c>
      <c r="C163" s="117">
        <f>SUM(C157:C162)</f>
        <v>113820.5</v>
      </c>
      <c r="L163" s="85"/>
      <c r="M163" s="120"/>
    </row>
    <row r="164" spans="2:13" ht="16" x14ac:dyDescent="0.2">
      <c r="B164" s="84"/>
      <c r="C164" s="143"/>
      <c r="L164" s="85"/>
      <c r="M164" s="120"/>
    </row>
    <row r="165" spans="2:13" ht="16" x14ac:dyDescent="0.2">
      <c r="B165" s="84" t="s">
        <v>136</v>
      </c>
      <c r="C165" s="143"/>
      <c r="L165" s="85"/>
      <c r="M165" s="120"/>
    </row>
    <row r="166" spans="2:13" ht="16" x14ac:dyDescent="0.2">
      <c r="B166" s="84" t="s">
        <v>132</v>
      </c>
      <c r="C166" s="115">
        <f>F152/2</f>
        <v>8829.5</v>
      </c>
      <c r="L166" s="85"/>
      <c r="M166" s="120"/>
    </row>
    <row r="167" spans="2:13" ht="16" x14ac:dyDescent="0.2">
      <c r="B167" s="84" t="s">
        <v>6</v>
      </c>
      <c r="C167" s="115">
        <f>J152/2</f>
        <v>350</v>
      </c>
      <c r="L167" s="85"/>
      <c r="M167" s="120"/>
    </row>
    <row r="168" spans="2:13" ht="16" x14ac:dyDescent="0.2">
      <c r="B168" s="84" t="s">
        <v>138</v>
      </c>
      <c r="C168" s="115">
        <v>0</v>
      </c>
      <c r="L168" s="85"/>
      <c r="M168" s="120"/>
    </row>
    <row r="169" spans="2:13" ht="16" x14ac:dyDescent="0.2">
      <c r="B169" s="84" t="s">
        <v>545</v>
      </c>
      <c r="C169" s="115">
        <f>H152</f>
        <v>3010</v>
      </c>
      <c r="L169" s="85"/>
      <c r="M169" s="120"/>
    </row>
    <row r="170" spans="2:13" ht="16" x14ac:dyDescent="0.2">
      <c r="B170" s="84" t="s">
        <v>141</v>
      </c>
      <c r="C170" s="115">
        <f>I152</f>
        <v>6650</v>
      </c>
      <c r="L170" s="85"/>
      <c r="M170" s="120"/>
    </row>
    <row r="171" spans="2:13" ht="16" x14ac:dyDescent="0.2">
      <c r="B171" s="84" t="s">
        <v>672</v>
      </c>
      <c r="C171" s="115"/>
      <c r="F171" s="85"/>
      <c r="L171" s="85"/>
      <c r="M171" s="120"/>
    </row>
    <row r="172" spans="2:13" ht="16" x14ac:dyDescent="0.2">
      <c r="B172" s="84" t="s">
        <v>15</v>
      </c>
      <c r="C172" s="115">
        <f>K152</f>
        <v>160</v>
      </c>
      <c r="L172" s="85"/>
      <c r="M172" s="120"/>
    </row>
    <row r="173" spans="2:13" ht="17" x14ac:dyDescent="0.2">
      <c r="B173" s="105" t="s">
        <v>16</v>
      </c>
      <c r="C173" s="115">
        <v>0</v>
      </c>
      <c r="L173" s="85"/>
      <c r="M173" s="120"/>
    </row>
    <row r="174" spans="2:13" ht="17" x14ac:dyDescent="0.2">
      <c r="B174" s="105" t="s">
        <v>138</v>
      </c>
      <c r="C174" s="115">
        <f>L152</f>
        <v>1550</v>
      </c>
      <c r="L174" s="85"/>
      <c r="M174" s="120"/>
    </row>
    <row r="175" spans="2:13" ht="16" x14ac:dyDescent="0.2">
      <c r="B175" s="84" t="s">
        <v>3</v>
      </c>
      <c r="C175" s="117">
        <f>SUM(C166:C174)</f>
        <v>20549.5</v>
      </c>
      <c r="L175" s="85"/>
      <c r="M175" s="120"/>
    </row>
    <row r="176" spans="2:13" ht="16" x14ac:dyDescent="0.2">
      <c r="L176" s="85"/>
      <c r="M176" s="120"/>
    </row>
    <row r="177" spans="12:13" ht="16" x14ac:dyDescent="0.2">
      <c r="L177" s="85"/>
      <c r="M177" s="120"/>
    </row>
  </sheetData>
  <pageMargins left="0.7" right="0.7" top="0.75" bottom="0.75" header="0.3" footer="0.3"/>
  <pageSetup paperSize="9" scale="10" fitToHeight="4" orientation="landscape" horizontalDpi="300" verticalDpi="300" copies="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141"/>
  <sheetViews>
    <sheetView zoomScale="109" zoomScaleNormal="130" workbookViewId="0">
      <pane ySplit="4" topLeftCell="A85" activePane="bottomLeft" state="frozen"/>
      <selection pane="bottomLeft" activeCell="I2" sqref="I2"/>
    </sheetView>
  </sheetViews>
  <sheetFormatPr baseColWidth="10" defaultColWidth="8.6640625" defaultRowHeight="15" customHeight="1" x14ac:dyDescent="0.2"/>
  <cols>
    <col min="1" max="1" width="6.6640625" style="40" bestFit="1" customWidth="1"/>
    <col min="2" max="2" width="36.5" style="40" bestFit="1" customWidth="1"/>
    <col min="3" max="3" width="14" style="40" bestFit="1" customWidth="1"/>
    <col min="4" max="4" width="14.6640625" style="49" bestFit="1" customWidth="1"/>
    <col min="5" max="5" width="13.1640625" style="49" bestFit="1" customWidth="1"/>
    <col min="6" max="6" width="13.5" style="49" customWidth="1"/>
    <col min="7" max="7" width="15" style="49" customWidth="1"/>
    <col min="8" max="8" width="15.5" style="49" customWidth="1"/>
    <col min="9" max="9" width="17" style="49" bestFit="1" customWidth="1"/>
    <col min="10" max="10" width="11.6640625" style="49" customWidth="1"/>
    <col min="11" max="11" width="10.6640625" style="49" bestFit="1" customWidth="1"/>
    <col min="12" max="16384" width="8.6640625" style="40"/>
  </cols>
  <sheetData>
    <row r="1" spans="1:12" ht="16" customHeight="1" x14ac:dyDescent="0.2">
      <c r="A1" s="183" t="s">
        <v>673</v>
      </c>
      <c r="B1" s="184"/>
      <c r="C1" s="184"/>
      <c r="D1" s="184"/>
      <c r="E1" s="184"/>
      <c r="F1" s="184"/>
      <c r="G1" s="184"/>
      <c r="H1" s="184"/>
      <c r="I1" s="184"/>
      <c r="J1" s="184"/>
      <c r="K1" s="185"/>
      <c r="L1" s="40" t="s">
        <v>0</v>
      </c>
    </row>
    <row r="2" spans="1:12" s="59" customFormat="1" ht="46.5" customHeight="1" x14ac:dyDescent="0.2">
      <c r="A2" s="42" t="s">
        <v>674</v>
      </c>
      <c r="B2" s="42" t="s">
        <v>393</v>
      </c>
      <c r="C2" s="42" t="s">
        <v>394</v>
      </c>
      <c r="D2" s="47" t="s">
        <v>547</v>
      </c>
      <c r="E2" s="47" t="s">
        <v>4</v>
      </c>
      <c r="F2" s="47" t="s">
        <v>395</v>
      </c>
      <c r="G2" s="47" t="s">
        <v>396</v>
      </c>
      <c r="H2" s="47" t="s">
        <v>397</v>
      </c>
      <c r="I2" s="47" t="s">
        <v>675</v>
      </c>
      <c r="J2" s="47" t="s">
        <v>676</v>
      </c>
      <c r="K2" s="47" t="s">
        <v>15</v>
      </c>
    </row>
    <row r="3" spans="1:12" ht="16" x14ac:dyDescent="0.2">
      <c r="A3" s="41">
        <v>1</v>
      </c>
      <c r="B3" s="41" t="s">
        <v>640</v>
      </c>
      <c r="C3" s="41">
        <v>262320</v>
      </c>
      <c r="D3" s="61">
        <v>500</v>
      </c>
      <c r="E3" s="61"/>
      <c r="F3" s="61"/>
      <c r="G3" s="61"/>
      <c r="H3" s="61"/>
      <c r="I3" s="61">
        <v>500</v>
      </c>
      <c r="J3" s="61"/>
      <c r="K3" s="61"/>
      <c r="L3" s="78"/>
    </row>
    <row r="4" spans="1:12" ht="16" x14ac:dyDescent="0.2">
      <c r="A4" s="41">
        <v>2</v>
      </c>
      <c r="B4" s="41" t="s">
        <v>677</v>
      </c>
      <c r="C4" s="41">
        <v>262321</v>
      </c>
      <c r="D4" s="61">
        <v>100</v>
      </c>
      <c r="E4" s="61">
        <v>100</v>
      </c>
      <c r="F4" s="61"/>
      <c r="G4" s="61"/>
      <c r="H4" s="61"/>
      <c r="I4" s="61"/>
      <c r="J4" s="61"/>
      <c r="K4" s="61"/>
      <c r="L4" s="78"/>
    </row>
    <row r="5" spans="1:12" ht="16" x14ac:dyDescent="0.2">
      <c r="A5" s="41">
        <v>3</v>
      </c>
      <c r="B5" s="41" t="s">
        <v>678</v>
      </c>
      <c r="C5" s="41">
        <v>262322</v>
      </c>
      <c r="D5" s="61">
        <v>100</v>
      </c>
      <c r="E5" s="61"/>
      <c r="F5" s="61">
        <v>100</v>
      </c>
      <c r="G5" s="61"/>
      <c r="H5" s="61"/>
      <c r="I5" s="61"/>
      <c r="J5" s="61"/>
      <c r="K5" s="61"/>
      <c r="L5" s="78"/>
    </row>
    <row r="6" spans="1:12" ht="16" x14ac:dyDescent="0.2">
      <c r="A6" s="41">
        <v>4</v>
      </c>
      <c r="B6" s="41" t="s">
        <v>679</v>
      </c>
      <c r="C6" s="41">
        <v>262323</v>
      </c>
      <c r="D6" s="61">
        <v>100</v>
      </c>
      <c r="E6" s="61"/>
      <c r="F6" s="61"/>
      <c r="G6" s="61"/>
      <c r="H6" s="61"/>
      <c r="I6" s="61">
        <v>100</v>
      </c>
      <c r="J6" s="61"/>
      <c r="K6" s="61"/>
      <c r="L6" s="78"/>
    </row>
    <row r="7" spans="1:12" ht="16" x14ac:dyDescent="0.2">
      <c r="A7" s="41">
        <v>5</v>
      </c>
      <c r="B7" s="41" t="s">
        <v>419</v>
      </c>
      <c r="C7" s="41">
        <v>262324</v>
      </c>
      <c r="D7" s="61">
        <v>50</v>
      </c>
      <c r="E7" s="61"/>
      <c r="F7" s="61">
        <v>50</v>
      </c>
      <c r="G7" s="61"/>
      <c r="H7" s="61"/>
      <c r="I7" s="61"/>
      <c r="J7" s="61"/>
      <c r="K7" s="61"/>
      <c r="L7" s="78"/>
    </row>
    <row r="8" spans="1:12" ht="16" x14ac:dyDescent="0.2">
      <c r="A8" s="41">
        <v>6</v>
      </c>
      <c r="B8" s="41" t="s">
        <v>410</v>
      </c>
      <c r="C8" s="41">
        <v>262325</v>
      </c>
      <c r="D8" s="61">
        <v>100</v>
      </c>
      <c r="E8" s="62">
        <v>50</v>
      </c>
      <c r="F8" s="62">
        <v>10</v>
      </c>
      <c r="G8" s="62">
        <v>20</v>
      </c>
      <c r="H8" s="62">
        <v>20</v>
      </c>
      <c r="I8" s="62"/>
      <c r="J8" s="62"/>
      <c r="K8" s="61"/>
      <c r="L8" s="78"/>
    </row>
    <row r="9" spans="1:12" ht="16" x14ac:dyDescent="0.2">
      <c r="A9" s="41">
        <v>7</v>
      </c>
      <c r="B9" s="41" t="s">
        <v>575</v>
      </c>
      <c r="C9" s="41">
        <v>262326</v>
      </c>
      <c r="D9" s="61">
        <v>100</v>
      </c>
      <c r="E9" s="61"/>
      <c r="F9" s="61">
        <v>100</v>
      </c>
      <c r="G9" s="61"/>
      <c r="H9" s="61"/>
      <c r="I9" s="61"/>
      <c r="J9" s="61"/>
      <c r="K9" s="61"/>
      <c r="L9" s="78"/>
    </row>
    <row r="10" spans="1:12" ht="16" x14ac:dyDescent="0.2">
      <c r="A10" s="41">
        <v>8</v>
      </c>
      <c r="B10" s="41" t="s">
        <v>571</v>
      </c>
      <c r="C10" s="41">
        <v>262327</v>
      </c>
      <c r="D10" s="61">
        <v>200</v>
      </c>
      <c r="E10" s="61">
        <v>200</v>
      </c>
      <c r="F10" s="61"/>
      <c r="G10" s="61"/>
      <c r="H10" s="61"/>
      <c r="I10" s="61"/>
      <c r="J10" s="61"/>
      <c r="K10" s="61"/>
      <c r="L10" s="78"/>
    </row>
    <row r="11" spans="1:12" ht="17" x14ac:dyDescent="0.2">
      <c r="A11" s="41">
        <v>9</v>
      </c>
      <c r="B11" s="60" t="s">
        <v>609</v>
      </c>
      <c r="C11" s="41">
        <v>262328</v>
      </c>
      <c r="D11" s="61">
        <v>100</v>
      </c>
      <c r="E11" s="61"/>
      <c r="F11" s="61">
        <v>50</v>
      </c>
      <c r="G11" s="61"/>
      <c r="H11" s="61"/>
      <c r="I11" s="61">
        <v>50</v>
      </c>
      <c r="J11" s="61"/>
      <c r="K11" s="61"/>
      <c r="L11" s="78"/>
    </row>
    <row r="12" spans="1:12" ht="16" x14ac:dyDescent="0.2">
      <c r="A12" s="41">
        <v>10</v>
      </c>
      <c r="B12" s="41" t="s">
        <v>680</v>
      </c>
      <c r="C12" s="41">
        <v>262329</v>
      </c>
      <c r="D12" s="61">
        <v>1000</v>
      </c>
      <c r="E12" s="61">
        <v>500</v>
      </c>
      <c r="F12" s="61">
        <v>500</v>
      </c>
      <c r="G12" s="61"/>
      <c r="H12" s="61"/>
      <c r="I12" s="61"/>
      <c r="J12" s="61"/>
      <c r="K12" s="61"/>
      <c r="L12" s="78"/>
    </row>
    <row r="13" spans="1:12" ht="16" x14ac:dyDescent="0.2">
      <c r="A13" s="41">
        <v>11</v>
      </c>
      <c r="B13" s="41" t="s">
        <v>453</v>
      </c>
      <c r="C13" s="41">
        <v>262330</v>
      </c>
      <c r="D13" s="61">
        <v>8750</v>
      </c>
      <c r="E13" s="61">
        <v>8750</v>
      </c>
      <c r="F13" s="61"/>
      <c r="G13" s="61"/>
      <c r="H13" s="61"/>
      <c r="I13" s="61"/>
      <c r="J13" s="61"/>
      <c r="K13" s="61"/>
      <c r="L13" s="78"/>
    </row>
    <row r="14" spans="1:12" ht="16" x14ac:dyDescent="0.2">
      <c r="A14" s="41">
        <v>12</v>
      </c>
      <c r="B14" s="41" t="s">
        <v>411</v>
      </c>
      <c r="C14" s="41">
        <v>262331</v>
      </c>
      <c r="D14" s="61">
        <v>100</v>
      </c>
      <c r="E14" s="61"/>
      <c r="F14" s="61">
        <v>80</v>
      </c>
      <c r="G14" s="61"/>
      <c r="H14" s="61"/>
      <c r="I14" s="61">
        <v>20</v>
      </c>
      <c r="J14" s="61"/>
      <c r="K14" s="61"/>
      <c r="L14" s="78"/>
    </row>
    <row r="15" spans="1:12" ht="16" x14ac:dyDescent="0.2">
      <c r="A15" s="41">
        <v>13</v>
      </c>
      <c r="B15" s="41" t="s">
        <v>550</v>
      </c>
      <c r="C15" s="41">
        <v>262332</v>
      </c>
      <c r="D15" s="61">
        <v>50</v>
      </c>
      <c r="E15" s="61">
        <v>30</v>
      </c>
      <c r="F15" s="61"/>
      <c r="G15" s="61">
        <v>20</v>
      </c>
      <c r="H15" s="61"/>
      <c r="I15" s="61"/>
      <c r="J15" s="61"/>
      <c r="K15" s="61"/>
      <c r="L15" s="78"/>
    </row>
    <row r="16" spans="1:12" ht="16" x14ac:dyDescent="0.2">
      <c r="A16" s="41">
        <v>14</v>
      </c>
      <c r="B16" s="41" t="s">
        <v>681</v>
      </c>
      <c r="C16" s="41">
        <v>262333</v>
      </c>
      <c r="D16" s="61">
        <v>50</v>
      </c>
      <c r="E16" s="61"/>
      <c r="F16" s="61">
        <v>50</v>
      </c>
      <c r="G16" s="61"/>
      <c r="H16" s="61"/>
      <c r="I16" s="61"/>
      <c r="J16" s="61"/>
      <c r="K16" s="61"/>
      <c r="L16" s="78"/>
    </row>
    <row r="17" spans="1:12" ht="16" x14ac:dyDescent="0.2">
      <c r="A17" s="41">
        <v>15</v>
      </c>
      <c r="B17" s="41" t="s">
        <v>682</v>
      </c>
      <c r="C17" s="41">
        <v>262334</v>
      </c>
      <c r="D17" s="61">
        <v>100</v>
      </c>
      <c r="E17" s="61">
        <v>100</v>
      </c>
      <c r="F17" s="61"/>
      <c r="G17" s="61"/>
      <c r="H17" s="61"/>
      <c r="I17" s="61"/>
      <c r="J17" s="61"/>
      <c r="K17" s="61"/>
      <c r="L17" s="78"/>
    </row>
    <row r="18" spans="1:12" ht="16" x14ac:dyDescent="0.2">
      <c r="A18" s="41">
        <v>16</v>
      </c>
      <c r="B18" s="41" t="s">
        <v>683</v>
      </c>
      <c r="C18" s="41">
        <v>262335</v>
      </c>
      <c r="D18" s="61">
        <v>1000</v>
      </c>
      <c r="E18" s="61">
        <v>1000</v>
      </c>
      <c r="F18" s="61"/>
      <c r="G18" s="61"/>
      <c r="H18" s="61"/>
      <c r="I18" s="61"/>
      <c r="J18" s="61"/>
      <c r="K18" s="61"/>
      <c r="L18" s="78"/>
    </row>
    <row r="19" spans="1:12" ht="16" x14ac:dyDescent="0.2">
      <c r="A19" s="41">
        <v>17</v>
      </c>
      <c r="B19" s="41" t="s">
        <v>659</v>
      </c>
      <c r="C19" s="41">
        <v>262336</v>
      </c>
      <c r="D19" s="61">
        <v>100</v>
      </c>
      <c r="E19" s="61">
        <v>100</v>
      </c>
      <c r="F19" s="61"/>
      <c r="G19" s="61"/>
      <c r="H19" s="61"/>
      <c r="I19" s="61"/>
      <c r="J19" s="61"/>
      <c r="K19" s="61"/>
      <c r="L19" s="78"/>
    </row>
    <row r="20" spans="1:12" ht="17" x14ac:dyDescent="0.2">
      <c r="A20" s="41">
        <v>18</v>
      </c>
      <c r="B20" s="60" t="s">
        <v>684</v>
      </c>
      <c r="C20" s="41">
        <v>262337</v>
      </c>
      <c r="D20" s="61">
        <v>200</v>
      </c>
      <c r="E20" s="61"/>
      <c r="F20" s="61"/>
      <c r="G20" s="61"/>
      <c r="H20" s="61"/>
      <c r="I20" s="61"/>
      <c r="J20" s="61">
        <v>200</v>
      </c>
      <c r="K20" s="61"/>
      <c r="L20" s="78"/>
    </row>
    <row r="21" spans="1:12" ht="16" x14ac:dyDescent="0.2">
      <c r="A21" s="41">
        <v>19</v>
      </c>
      <c r="B21" s="41" t="s">
        <v>685</v>
      </c>
      <c r="C21" s="41">
        <v>262338</v>
      </c>
      <c r="D21" s="61">
        <v>100</v>
      </c>
      <c r="E21" s="61">
        <v>100</v>
      </c>
      <c r="F21" s="61"/>
      <c r="G21" s="61"/>
      <c r="H21" s="61"/>
      <c r="I21" s="61"/>
      <c r="J21" s="61"/>
      <c r="K21" s="61"/>
      <c r="L21" s="78"/>
    </row>
    <row r="22" spans="1:12" ht="16" x14ac:dyDescent="0.2">
      <c r="A22" s="41">
        <v>20</v>
      </c>
      <c r="B22" s="41" t="s">
        <v>686</v>
      </c>
      <c r="C22" s="41">
        <v>262339</v>
      </c>
      <c r="D22" s="61">
        <v>100</v>
      </c>
      <c r="E22" s="61">
        <v>100</v>
      </c>
      <c r="F22" s="61"/>
      <c r="G22" s="61"/>
      <c r="H22" s="61"/>
      <c r="I22" s="61"/>
      <c r="J22" s="61"/>
      <c r="K22" s="61"/>
      <c r="L22" s="78"/>
    </row>
    <row r="23" spans="1:12" ht="16" x14ac:dyDescent="0.2">
      <c r="A23" s="41">
        <v>21</v>
      </c>
      <c r="B23" s="41" t="s">
        <v>665</v>
      </c>
      <c r="C23" s="41">
        <v>262340</v>
      </c>
      <c r="D23" s="61">
        <v>85</v>
      </c>
      <c r="E23" s="61">
        <v>85</v>
      </c>
      <c r="F23" s="61"/>
      <c r="G23" s="61"/>
      <c r="H23" s="61"/>
      <c r="I23" s="61"/>
      <c r="J23" s="61"/>
      <c r="K23" s="61"/>
      <c r="L23" s="78"/>
    </row>
    <row r="24" spans="1:12" ht="16" x14ac:dyDescent="0.2">
      <c r="A24" s="41">
        <v>22</v>
      </c>
      <c r="B24" s="41" t="s">
        <v>687</v>
      </c>
      <c r="C24" s="41">
        <v>262341</v>
      </c>
      <c r="D24" s="61">
        <v>200</v>
      </c>
      <c r="E24" s="61"/>
      <c r="F24" s="61"/>
      <c r="G24" s="61"/>
      <c r="H24" s="61"/>
      <c r="I24" s="61">
        <v>200</v>
      </c>
      <c r="J24" s="61"/>
      <c r="K24" s="61"/>
      <c r="L24" s="78"/>
    </row>
    <row r="25" spans="1:12" ht="16" x14ac:dyDescent="0.2">
      <c r="A25" s="41">
        <v>23</v>
      </c>
      <c r="B25" s="41" t="s">
        <v>688</v>
      </c>
      <c r="C25" s="41">
        <v>262342</v>
      </c>
      <c r="D25" s="61">
        <v>50</v>
      </c>
      <c r="E25" s="61">
        <v>50</v>
      </c>
      <c r="F25" s="61"/>
      <c r="G25" s="61"/>
      <c r="H25" s="61"/>
      <c r="I25" s="61"/>
      <c r="J25" s="61"/>
      <c r="K25" s="61"/>
      <c r="L25" s="78"/>
    </row>
    <row r="26" spans="1:12" ht="16" x14ac:dyDescent="0.2">
      <c r="A26" s="41">
        <v>24</v>
      </c>
      <c r="B26" s="41" t="s">
        <v>689</v>
      </c>
      <c r="C26" s="41">
        <v>262343</v>
      </c>
      <c r="D26" s="61">
        <v>80</v>
      </c>
      <c r="E26" s="61">
        <v>80</v>
      </c>
      <c r="F26" s="61"/>
      <c r="G26" s="61"/>
      <c r="H26" s="61"/>
      <c r="I26" s="61"/>
      <c r="J26" s="61"/>
      <c r="K26" s="61"/>
      <c r="L26" s="78"/>
    </row>
    <row r="27" spans="1:12" ht="16" x14ac:dyDescent="0.2">
      <c r="A27" s="41">
        <v>25</v>
      </c>
      <c r="B27" s="41" t="s">
        <v>690</v>
      </c>
      <c r="C27" s="41">
        <v>262344</v>
      </c>
      <c r="D27" s="61">
        <v>50</v>
      </c>
      <c r="E27" s="61">
        <v>50</v>
      </c>
      <c r="F27" s="61"/>
      <c r="G27" s="61"/>
      <c r="H27" s="61"/>
      <c r="I27" s="61"/>
      <c r="J27" s="61"/>
      <c r="K27" s="61"/>
      <c r="L27" s="78"/>
    </row>
    <row r="28" spans="1:12" ht="16" x14ac:dyDescent="0.2">
      <c r="A28" s="41">
        <v>26</v>
      </c>
      <c r="B28" s="41" t="s">
        <v>691</v>
      </c>
      <c r="C28" s="41">
        <v>262345</v>
      </c>
      <c r="D28" s="61">
        <v>100</v>
      </c>
      <c r="E28" s="61">
        <v>100</v>
      </c>
      <c r="F28" s="61"/>
      <c r="G28" s="61"/>
      <c r="H28" s="61"/>
      <c r="I28" s="61"/>
      <c r="J28" s="61"/>
      <c r="K28" s="61"/>
      <c r="L28" s="78"/>
    </row>
    <row r="29" spans="1:12" ht="16" x14ac:dyDescent="0.2">
      <c r="A29" s="41">
        <v>27</v>
      </c>
      <c r="B29" s="41" t="s">
        <v>692</v>
      </c>
      <c r="C29" s="41">
        <v>262346</v>
      </c>
      <c r="D29" s="61">
        <v>5000</v>
      </c>
      <c r="E29" s="61"/>
      <c r="F29" s="61"/>
      <c r="G29" s="61"/>
      <c r="H29" s="61"/>
      <c r="I29" s="61"/>
      <c r="J29" s="61">
        <v>5000</v>
      </c>
      <c r="K29" s="61"/>
      <c r="L29" s="78"/>
    </row>
    <row r="30" spans="1:12" ht="16" x14ac:dyDescent="0.2">
      <c r="A30" s="41">
        <v>28</v>
      </c>
      <c r="B30" s="41" t="s">
        <v>693</v>
      </c>
      <c r="C30" s="41">
        <v>262347</v>
      </c>
      <c r="D30" s="61">
        <v>100</v>
      </c>
      <c r="E30" s="61">
        <v>100</v>
      </c>
      <c r="F30" s="61"/>
      <c r="G30" s="61"/>
      <c r="H30" s="61"/>
      <c r="I30" s="61"/>
      <c r="J30" s="61"/>
      <c r="K30" s="61"/>
      <c r="L30" s="78"/>
    </row>
    <row r="31" spans="1:12" ht="16" x14ac:dyDescent="0.2">
      <c r="A31" s="41">
        <v>29</v>
      </c>
      <c r="B31" s="41" t="s">
        <v>694</v>
      </c>
      <c r="C31" s="41">
        <v>262348</v>
      </c>
      <c r="D31" s="61">
        <v>200</v>
      </c>
      <c r="E31" s="61">
        <v>200</v>
      </c>
      <c r="F31" s="61"/>
      <c r="G31" s="61"/>
      <c r="H31" s="61"/>
      <c r="I31" s="61"/>
      <c r="J31" s="61"/>
      <c r="K31" s="61"/>
      <c r="L31" s="78"/>
    </row>
    <row r="32" spans="1:12" ht="16" x14ac:dyDescent="0.2">
      <c r="A32" s="41">
        <v>30</v>
      </c>
      <c r="B32" s="41" t="s">
        <v>695</v>
      </c>
      <c r="C32" s="41">
        <v>262349</v>
      </c>
      <c r="D32" s="61">
        <v>50</v>
      </c>
      <c r="E32" s="61">
        <v>50</v>
      </c>
      <c r="F32" s="61"/>
      <c r="G32" s="61"/>
      <c r="H32" s="61"/>
      <c r="I32" s="61"/>
      <c r="J32" s="61"/>
      <c r="K32" s="61"/>
      <c r="L32" s="78"/>
    </row>
    <row r="33" spans="1:12" ht="16" x14ac:dyDescent="0.2">
      <c r="A33" s="41">
        <v>31</v>
      </c>
      <c r="B33" s="41" t="s">
        <v>648</v>
      </c>
      <c r="C33" s="41">
        <v>262350</v>
      </c>
      <c r="D33" s="61">
        <v>20</v>
      </c>
      <c r="E33" s="61">
        <v>20</v>
      </c>
      <c r="F33" s="61"/>
      <c r="G33" s="61"/>
      <c r="H33" s="61"/>
      <c r="I33" s="61"/>
      <c r="J33" s="61"/>
      <c r="K33" s="61"/>
      <c r="L33" s="78"/>
    </row>
    <row r="34" spans="1:12" ht="16" x14ac:dyDescent="0.2">
      <c r="A34" s="41">
        <v>32</v>
      </c>
      <c r="B34" s="41" t="s">
        <v>579</v>
      </c>
      <c r="C34" s="41">
        <v>262351</v>
      </c>
      <c r="D34" s="61">
        <v>50</v>
      </c>
      <c r="E34" s="61">
        <v>50</v>
      </c>
      <c r="F34" s="61"/>
      <c r="G34" s="61"/>
      <c r="H34" s="61"/>
      <c r="I34" s="61"/>
      <c r="J34" s="61"/>
      <c r="K34" s="61"/>
      <c r="L34" s="78"/>
    </row>
    <row r="35" spans="1:12" ht="16" x14ac:dyDescent="0.2">
      <c r="A35" s="41">
        <v>33</v>
      </c>
      <c r="B35" s="41" t="s">
        <v>521</v>
      </c>
      <c r="C35" s="41">
        <v>262352</v>
      </c>
      <c r="D35" s="61">
        <v>2500</v>
      </c>
      <c r="E35" s="61">
        <v>2300</v>
      </c>
      <c r="F35" s="61"/>
      <c r="G35" s="61"/>
      <c r="H35" s="61"/>
      <c r="I35" s="61"/>
      <c r="J35" s="61">
        <v>200</v>
      </c>
      <c r="K35" s="61"/>
      <c r="L35" s="78"/>
    </row>
    <row r="36" spans="1:12" ht="16" x14ac:dyDescent="0.2">
      <c r="A36" s="41">
        <v>34</v>
      </c>
      <c r="B36" s="41" t="s">
        <v>431</v>
      </c>
      <c r="C36" s="41">
        <v>262353</v>
      </c>
      <c r="D36" s="61">
        <v>440</v>
      </c>
      <c r="E36" s="61">
        <v>440</v>
      </c>
      <c r="F36" s="61"/>
      <c r="G36" s="61"/>
      <c r="H36" s="61"/>
      <c r="I36" s="61"/>
      <c r="J36" s="61"/>
      <c r="K36" s="61"/>
      <c r="L36" s="78"/>
    </row>
    <row r="37" spans="1:12" ht="16" x14ac:dyDescent="0.2">
      <c r="A37" s="41">
        <v>35</v>
      </c>
      <c r="B37" s="41" t="s">
        <v>696</v>
      </c>
      <c r="C37" s="41">
        <v>262354</v>
      </c>
      <c r="D37" s="61">
        <v>20</v>
      </c>
      <c r="E37" s="61">
        <v>20</v>
      </c>
      <c r="F37" s="61"/>
      <c r="G37" s="61"/>
      <c r="H37" s="61"/>
      <c r="I37" s="61"/>
      <c r="J37" s="61"/>
      <c r="K37" s="61"/>
      <c r="L37" s="78"/>
    </row>
    <row r="38" spans="1:12" ht="16" x14ac:dyDescent="0.2">
      <c r="A38" s="41">
        <v>36</v>
      </c>
      <c r="B38" s="41" t="s">
        <v>697</v>
      </c>
      <c r="C38" s="41">
        <v>262355</v>
      </c>
      <c r="D38" s="61">
        <v>100</v>
      </c>
      <c r="E38" s="61"/>
      <c r="F38" s="61"/>
      <c r="G38" s="61"/>
      <c r="H38" s="61"/>
      <c r="I38" s="61">
        <v>100</v>
      </c>
      <c r="J38" s="61"/>
      <c r="K38" s="61"/>
      <c r="L38" s="78"/>
    </row>
    <row r="39" spans="1:12" ht="16" x14ac:dyDescent="0.2">
      <c r="A39" s="41">
        <v>37</v>
      </c>
      <c r="B39" s="41" t="s">
        <v>532</v>
      </c>
      <c r="C39" s="41">
        <v>262356</v>
      </c>
      <c r="D39" s="61">
        <v>1562</v>
      </c>
      <c r="E39" s="61">
        <v>1562</v>
      </c>
      <c r="F39" s="61"/>
      <c r="G39" s="61"/>
      <c r="H39" s="61"/>
      <c r="I39" s="61"/>
      <c r="J39" s="61"/>
      <c r="K39" s="61"/>
      <c r="L39" s="78"/>
    </row>
    <row r="40" spans="1:12" ht="16" x14ac:dyDescent="0.2">
      <c r="A40" s="41">
        <v>38</v>
      </c>
      <c r="B40" s="41" t="s">
        <v>698</v>
      </c>
      <c r="C40" s="41">
        <v>262357</v>
      </c>
      <c r="D40" s="61">
        <v>200</v>
      </c>
      <c r="E40" s="61"/>
      <c r="F40" s="61">
        <v>200</v>
      </c>
      <c r="G40" s="61"/>
      <c r="H40" s="61"/>
      <c r="I40" s="61"/>
      <c r="J40" s="61"/>
      <c r="K40" s="61"/>
      <c r="L40" s="78"/>
    </row>
    <row r="41" spans="1:12" ht="16" x14ac:dyDescent="0.2">
      <c r="A41" s="41">
        <v>39</v>
      </c>
      <c r="B41" s="41" t="s">
        <v>699</v>
      </c>
      <c r="C41" s="41">
        <v>262358</v>
      </c>
      <c r="D41" s="61">
        <v>100</v>
      </c>
      <c r="E41" s="61">
        <v>100</v>
      </c>
      <c r="F41" s="61"/>
      <c r="G41" s="61"/>
      <c r="H41" s="61"/>
      <c r="I41" s="61"/>
      <c r="J41" s="61"/>
      <c r="K41" s="61"/>
      <c r="L41" s="78"/>
    </row>
    <row r="42" spans="1:12" ht="16" x14ac:dyDescent="0.2">
      <c r="A42" s="41">
        <v>40</v>
      </c>
      <c r="B42" s="41" t="s">
        <v>455</v>
      </c>
      <c r="C42" s="41">
        <v>262359</v>
      </c>
      <c r="D42" s="61">
        <v>700</v>
      </c>
      <c r="E42" s="61">
        <v>700</v>
      </c>
      <c r="F42" s="61"/>
      <c r="G42" s="61"/>
      <c r="H42" s="61"/>
      <c r="I42" s="61"/>
      <c r="J42" s="61"/>
      <c r="K42" s="61"/>
      <c r="L42" s="78"/>
    </row>
    <row r="43" spans="1:12" ht="16" x14ac:dyDescent="0.2">
      <c r="A43" s="41">
        <v>41</v>
      </c>
      <c r="B43" s="41" t="s">
        <v>700</v>
      </c>
      <c r="C43" s="41">
        <v>262360</v>
      </c>
      <c r="D43" s="61">
        <v>500</v>
      </c>
      <c r="E43" s="61">
        <v>500</v>
      </c>
      <c r="F43" s="61"/>
      <c r="G43" s="61"/>
      <c r="H43" s="61"/>
      <c r="I43" s="61"/>
      <c r="J43" s="61"/>
      <c r="K43" s="61"/>
      <c r="L43" s="78"/>
    </row>
    <row r="44" spans="1:12" ht="16" x14ac:dyDescent="0.2">
      <c r="A44" s="41">
        <v>42</v>
      </c>
      <c r="B44" s="41" t="s">
        <v>701</v>
      </c>
      <c r="C44" s="41">
        <v>262361</v>
      </c>
      <c r="D44" s="61">
        <v>200</v>
      </c>
      <c r="E44" s="61">
        <v>200</v>
      </c>
      <c r="F44" s="61"/>
      <c r="G44" s="61"/>
      <c r="H44" s="61"/>
      <c r="I44" s="61"/>
      <c r="J44" s="61"/>
      <c r="K44" s="61"/>
      <c r="L44" s="78"/>
    </row>
    <row r="45" spans="1:12" ht="16" x14ac:dyDescent="0.2">
      <c r="A45" s="41">
        <v>43</v>
      </c>
      <c r="B45" s="41" t="s">
        <v>702</v>
      </c>
      <c r="C45" s="41">
        <v>262362</v>
      </c>
      <c r="D45" s="61">
        <v>50</v>
      </c>
      <c r="E45" s="61">
        <v>50</v>
      </c>
      <c r="F45" s="61"/>
      <c r="G45" s="61"/>
      <c r="H45" s="61"/>
      <c r="I45" s="61"/>
      <c r="J45" s="61"/>
      <c r="K45" s="61"/>
      <c r="L45" s="78"/>
    </row>
    <row r="46" spans="1:12" ht="16" x14ac:dyDescent="0.2">
      <c r="A46" s="41">
        <v>44</v>
      </c>
      <c r="B46" s="41" t="s">
        <v>703</v>
      </c>
      <c r="C46" s="41">
        <v>262363</v>
      </c>
      <c r="D46" s="61">
        <v>50</v>
      </c>
      <c r="E46" s="61">
        <v>50</v>
      </c>
      <c r="F46" s="61"/>
      <c r="G46" s="61"/>
      <c r="H46" s="61"/>
      <c r="I46" s="61"/>
      <c r="J46" s="61"/>
      <c r="K46" s="61"/>
      <c r="L46" s="78"/>
    </row>
    <row r="47" spans="1:12" ht="16" x14ac:dyDescent="0.2">
      <c r="A47" s="41">
        <v>45</v>
      </c>
      <c r="B47" s="41" t="s">
        <v>524</v>
      </c>
      <c r="C47" s="41">
        <v>262364</v>
      </c>
      <c r="D47" s="61">
        <v>50</v>
      </c>
      <c r="E47" s="61">
        <v>50</v>
      </c>
      <c r="F47" s="61"/>
      <c r="G47" s="61"/>
      <c r="H47" s="61"/>
      <c r="I47" s="61"/>
      <c r="J47" s="61"/>
      <c r="K47" s="61"/>
      <c r="L47" s="78"/>
    </row>
    <row r="48" spans="1:12" ht="16" x14ac:dyDescent="0.2">
      <c r="A48" s="41">
        <v>46</v>
      </c>
      <c r="B48" s="41" t="s">
        <v>522</v>
      </c>
      <c r="C48" s="41">
        <v>262365</v>
      </c>
      <c r="D48" s="61">
        <v>2515</v>
      </c>
      <c r="E48" s="61">
        <v>1515</v>
      </c>
      <c r="F48" s="61">
        <v>500</v>
      </c>
      <c r="G48" s="61"/>
      <c r="H48" s="61">
        <v>500</v>
      </c>
      <c r="I48" s="61"/>
      <c r="J48" s="61"/>
      <c r="K48" s="61"/>
      <c r="L48" s="78"/>
    </row>
    <row r="49" spans="1:12" ht="16" x14ac:dyDescent="0.2">
      <c r="A49" s="41">
        <v>47</v>
      </c>
      <c r="B49" s="41" t="s">
        <v>704</v>
      </c>
      <c r="C49" s="41">
        <v>262366</v>
      </c>
      <c r="D49" s="61">
        <v>100</v>
      </c>
      <c r="E49" s="61"/>
      <c r="F49" s="61"/>
      <c r="G49" s="61"/>
      <c r="H49" s="61"/>
      <c r="I49" s="61">
        <v>100</v>
      </c>
      <c r="J49" s="61"/>
      <c r="K49" s="61"/>
      <c r="L49" s="78"/>
    </row>
    <row r="50" spans="1:12" ht="16" x14ac:dyDescent="0.2">
      <c r="A50" s="41">
        <v>48</v>
      </c>
      <c r="B50" s="41" t="s">
        <v>589</v>
      </c>
      <c r="C50" s="41">
        <v>262367</v>
      </c>
      <c r="D50" s="61">
        <v>7800</v>
      </c>
      <c r="E50" s="61">
        <v>3900</v>
      </c>
      <c r="F50" s="61">
        <v>3900</v>
      </c>
      <c r="G50" s="61"/>
      <c r="H50" s="61"/>
      <c r="I50" s="61"/>
      <c r="J50" s="61"/>
      <c r="K50" s="61"/>
      <c r="L50" s="78"/>
    </row>
    <row r="51" spans="1:12" ht="16" x14ac:dyDescent="0.2">
      <c r="A51" s="41">
        <v>49</v>
      </c>
      <c r="B51" s="41" t="s">
        <v>607</v>
      </c>
      <c r="C51" s="41">
        <v>262368</v>
      </c>
      <c r="D51" s="61">
        <v>200</v>
      </c>
      <c r="E51" s="61">
        <v>200</v>
      </c>
      <c r="F51" s="61"/>
      <c r="G51" s="61"/>
      <c r="H51" s="61"/>
      <c r="I51" s="61"/>
      <c r="J51" s="61"/>
      <c r="K51" s="61"/>
      <c r="L51" s="78"/>
    </row>
    <row r="52" spans="1:12" ht="16" x14ac:dyDescent="0.2">
      <c r="A52" s="41">
        <v>50</v>
      </c>
      <c r="B52" s="41" t="s">
        <v>705</v>
      </c>
      <c r="C52" s="41">
        <v>322049</v>
      </c>
      <c r="D52" s="61">
        <v>100</v>
      </c>
      <c r="E52" s="61"/>
      <c r="F52" s="61">
        <v>100</v>
      </c>
      <c r="G52" s="61"/>
      <c r="H52" s="61"/>
      <c r="I52" s="61"/>
      <c r="J52" s="61"/>
      <c r="K52" s="61"/>
      <c r="L52" s="78"/>
    </row>
    <row r="53" spans="1:12" ht="16" x14ac:dyDescent="0.2">
      <c r="A53" s="41">
        <v>51</v>
      </c>
      <c r="B53" s="41" t="s">
        <v>616</v>
      </c>
      <c r="C53" s="41">
        <v>322050</v>
      </c>
      <c r="D53" s="61">
        <v>100</v>
      </c>
      <c r="E53" s="61"/>
      <c r="F53" s="61">
        <v>100</v>
      </c>
      <c r="G53" s="61"/>
      <c r="H53" s="61"/>
      <c r="I53" s="61"/>
      <c r="J53" s="61"/>
      <c r="K53" s="61"/>
      <c r="L53" s="78"/>
    </row>
    <row r="54" spans="1:12" ht="16" x14ac:dyDescent="0.2">
      <c r="A54" s="41">
        <v>52</v>
      </c>
      <c r="B54" s="41" t="s">
        <v>706</v>
      </c>
      <c r="C54" s="41">
        <v>322051</v>
      </c>
      <c r="D54" s="61">
        <v>100</v>
      </c>
      <c r="E54" s="61"/>
      <c r="F54" s="61">
        <v>100</v>
      </c>
      <c r="G54" s="61"/>
      <c r="H54" s="61"/>
      <c r="I54" s="61"/>
      <c r="J54" s="61"/>
      <c r="K54" s="61"/>
      <c r="L54" s="78"/>
    </row>
    <row r="55" spans="1:12" ht="16" x14ac:dyDescent="0.2">
      <c r="A55" s="41">
        <v>53</v>
      </c>
      <c r="B55" s="41" t="s">
        <v>474</v>
      </c>
      <c r="C55" s="41">
        <v>322052</v>
      </c>
      <c r="D55" s="61">
        <v>200</v>
      </c>
      <c r="E55" s="61">
        <v>200</v>
      </c>
      <c r="F55" s="61"/>
      <c r="G55" s="61"/>
      <c r="H55" s="61"/>
      <c r="I55" s="61"/>
      <c r="J55" s="61"/>
      <c r="K55" s="61"/>
      <c r="L55" s="78"/>
    </row>
    <row r="56" spans="1:12" ht="16" x14ac:dyDescent="0.2">
      <c r="A56" s="41">
        <v>54</v>
      </c>
      <c r="B56" s="41" t="s">
        <v>624</v>
      </c>
      <c r="C56" s="41">
        <v>322053</v>
      </c>
      <c r="D56" s="61">
        <v>80</v>
      </c>
      <c r="E56" s="61">
        <v>80</v>
      </c>
      <c r="F56" s="61"/>
      <c r="G56" s="61"/>
      <c r="H56" s="61"/>
      <c r="I56" s="61"/>
      <c r="J56" s="61"/>
      <c r="K56" s="61"/>
      <c r="L56" s="78"/>
    </row>
    <row r="57" spans="1:12" ht="16" x14ac:dyDescent="0.2">
      <c r="A57" s="41">
        <v>55</v>
      </c>
      <c r="B57" s="41" t="s">
        <v>707</v>
      </c>
      <c r="C57" s="41">
        <v>322054</v>
      </c>
      <c r="D57" s="61">
        <v>200</v>
      </c>
      <c r="E57" s="61"/>
      <c r="F57" s="61"/>
      <c r="G57" s="61"/>
      <c r="H57" s="61"/>
      <c r="I57" s="61">
        <v>200</v>
      </c>
      <c r="J57" s="61"/>
      <c r="K57" s="61"/>
      <c r="L57" s="78"/>
    </row>
    <row r="58" spans="1:12" ht="16" x14ac:dyDescent="0.2">
      <c r="A58" s="41">
        <v>56</v>
      </c>
      <c r="B58" s="41" t="s">
        <v>708</v>
      </c>
      <c r="C58" s="41">
        <v>322055</v>
      </c>
      <c r="D58" s="61">
        <v>50</v>
      </c>
      <c r="E58" s="61"/>
      <c r="F58" s="61"/>
      <c r="G58" s="61"/>
      <c r="H58" s="61"/>
      <c r="I58" s="61">
        <v>50</v>
      </c>
      <c r="J58" s="61"/>
      <c r="K58" s="61"/>
      <c r="L58" s="78"/>
    </row>
    <row r="59" spans="1:12" ht="16" x14ac:dyDescent="0.2">
      <c r="A59" s="41">
        <v>57</v>
      </c>
      <c r="B59" s="41" t="s">
        <v>709</v>
      </c>
      <c r="C59" s="41">
        <v>322056</v>
      </c>
      <c r="D59" s="61">
        <v>6000</v>
      </c>
      <c r="E59" s="61">
        <v>6000</v>
      </c>
      <c r="F59" s="61"/>
      <c r="G59" s="61"/>
      <c r="H59" s="61"/>
      <c r="I59" s="61"/>
      <c r="J59" s="61"/>
      <c r="K59" s="61"/>
      <c r="L59" s="78"/>
    </row>
    <row r="60" spans="1:12" ht="16" x14ac:dyDescent="0.2">
      <c r="A60" s="41">
        <v>58</v>
      </c>
      <c r="B60" s="41" t="s">
        <v>710</v>
      </c>
      <c r="C60" s="41">
        <v>322057</v>
      </c>
      <c r="D60" s="61">
        <v>100</v>
      </c>
      <c r="E60" s="61"/>
      <c r="F60" s="61">
        <v>100</v>
      </c>
      <c r="G60" s="61"/>
      <c r="H60" s="61"/>
      <c r="I60" s="61"/>
      <c r="J60" s="61"/>
      <c r="K60" s="61"/>
      <c r="L60" s="78"/>
    </row>
    <row r="61" spans="1:12" ht="16" x14ac:dyDescent="0.2">
      <c r="A61" s="41">
        <v>59</v>
      </c>
      <c r="B61" s="41" t="s">
        <v>492</v>
      </c>
      <c r="C61" s="41">
        <v>322058</v>
      </c>
      <c r="D61" s="61">
        <v>100</v>
      </c>
      <c r="E61" s="61"/>
      <c r="F61" s="61">
        <v>100</v>
      </c>
      <c r="G61" s="61"/>
      <c r="H61" s="61"/>
      <c r="I61" s="61"/>
      <c r="J61" s="61"/>
      <c r="K61" s="61"/>
      <c r="L61" s="78"/>
    </row>
    <row r="62" spans="1:12" ht="16" x14ac:dyDescent="0.2">
      <c r="A62" s="41">
        <v>60</v>
      </c>
      <c r="B62" s="41" t="s">
        <v>711</v>
      </c>
      <c r="C62" s="41">
        <v>322059</v>
      </c>
      <c r="D62" s="61">
        <v>50</v>
      </c>
      <c r="E62" s="61"/>
      <c r="F62" s="61">
        <v>50</v>
      </c>
      <c r="G62" s="61"/>
      <c r="H62" s="61"/>
      <c r="I62" s="61"/>
      <c r="J62" s="61"/>
      <c r="K62" s="61"/>
      <c r="L62" s="78"/>
    </row>
    <row r="63" spans="1:12" ht="16" x14ac:dyDescent="0.2">
      <c r="A63" s="41">
        <v>61</v>
      </c>
      <c r="B63" s="41" t="s">
        <v>712</v>
      </c>
      <c r="C63" s="41">
        <v>322060</v>
      </c>
      <c r="D63" s="61">
        <v>200</v>
      </c>
      <c r="E63" s="61">
        <v>200</v>
      </c>
      <c r="F63" s="61"/>
      <c r="G63" s="61"/>
      <c r="H63" s="61"/>
      <c r="I63" s="61"/>
      <c r="J63" s="61"/>
      <c r="K63" s="61"/>
      <c r="L63" s="78"/>
    </row>
    <row r="64" spans="1:12" ht="16" x14ac:dyDescent="0.2">
      <c r="A64" s="41">
        <v>62</v>
      </c>
      <c r="B64" s="41" t="s">
        <v>713</v>
      </c>
      <c r="C64" s="41">
        <v>322061</v>
      </c>
      <c r="D64" s="61">
        <v>50</v>
      </c>
      <c r="E64" s="61"/>
      <c r="F64" s="61"/>
      <c r="G64" s="61"/>
      <c r="H64" s="61">
        <v>50</v>
      </c>
      <c r="I64" s="61"/>
      <c r="J64" s="61"/>
      <c r="K64" s="61"/>
      <c r="L64" s="78"/>
    </row>
    <row r="65" spans="1:12" ht="16" x14ac:dyDescent="0.2">
      <c r="A65" s="41">
        <v>63</v>
      </c>
      <c r="B65" s="41" t="s">
        <v>714</v>
      </c>
      <c r="C65" s="41">
        <v>322062</v>
      </c>
      <c r="D65" s="61">
        <v>100</v>
      </c>
      <c r="E65" s="61">
        <v>100</v>
      </c>
      <c r="F65" s="61"/>
      <c r="G65" s="61"/>
      <c r="H65" s="61"/>
      <c r="I65" s="61"/>
      <c r="J65" s="61"/>
      <c r="K65" s="61"/>
      <c r="L65" s="78"/>
    </row>
    <row r="66" spans="1:12" ht="16" x14ac:dyDescent="0.2">
      <c r="A66" s="41">
        <v>64</v>
      </c>
      <c r="B66" s="41" t="s">
        <v>563</v>
      </c>
      <c r="C66" s="41">
        <v>322063</v>
      </c>
      <c r="D66" s="61">
        <v>200</v>
      </c>
      <c r="E66" s="61"/>
      <c r="F66" s="61">
        <v>100</v>
      </c>
      <c r="G66" s="61">
        <v>50</v>
      </c>
      <c r="H66" s="61"/>
      <c r="I66" s="61">
        <v>50</v>
      </c>
      <c r="J66" s="61"/>
      <c r="K66" s="61"/>
      <c r="L66" s="78"/>
    </row>
    <row r="67" spans="1:12" ht="16" x14ac:dyDescent="0.2">
      <c r="A67" s="41">
        <v>65</v>
      </c>
      <c r="B67" s="41" t="s">
        <v>715</v>
      </c>
      <c r="C67" s="41">
        <v>322064</v>
      </c>
      <c r="D67" s="61">
        <v>100</v>
      </c>
      <c r="E67" s="61">
        <v>100</v>
      </c>
      <c r="F67" s="61"/>
      <c r="G67" s="61"/>
      <c r="H67" s="61"/>
      <c r="I67" s="61"/>
      <c r="J67" s="61"/>
      <c r="K67" s="61"/>
      <c r="L67" s="78"/>
    </row>
    <row r="68" spans="1:12" ht="16" x14ac:dyDescent="0.2">
      <c r="A68" s="41">
        <v>66</v>
      </c>
      <c r="B68" s="41" t="s">
        <v>493</v>
      </c>
      <c r="C68" s="41">
        <v>322065</v>
      </c>
      <c r="D68" s="61">
        <v>200</v>
      </c>
      <c r="E68" s="61">
        <v>200</v>
      </c>
      <c r="F68" s="61"/>
      <c r="G68" s="61"/>
      <c r="H68" s="61"/>
      <c r="I68" s="61"/>
      <c r="J68" s="61"/>
      <c r="K68" s="61"/>
      <c r="L68" s="78"/>
    </row>
    <row r="69" spans="1:12" ht="16" x14ac:dyDescent="0.2">
      <c r="A69" s="41">
        <v>67</v>
      </c>
      <c r="B69" s="41" t="s">
        <v>429</v>
      </c>
      <c r="C69" s="41">
        <v>322066</v>
      </c>
      <c r="D69" s="61">
        <v>50</v>
      </c>
      <c r="E69" s="61">
        <v>15</v>
      </c>
      <c r="F69" s="61">
        <v>15</v>
      </c>
      <c r="G69" s="61">
        <v>10</v>
      </c>
      <c r="H69" s="61">
        <v>10</v>
      </c>
      <c r="I69" s="61"/>
      <c r="J69" s="61"/>
      <c r="K69" s="61"/>
      <c r="L69" s="78"/>
    </row>
    <row r="70" spans="1:12" ht="16" x14ac:dyDescent="0.2">
      <c r="A70" s="41">
        <v>68</v>
      </c>
      <c r="B70" s="41" t="s">
        <v>716</v>
      </c>
      <c r="C70" s="41">
        <v>322067</v>
      </c>
      <c r="D70" s="61">
        <v>50</v>
      </c>
      <c r="E70" s="61"/>
      <c r="F70" s="61"/>
      <c r="G70" s="61"/>
      <c r="H70" s="61"/>
      <c r="I70" s="61">
        <v>50</v>
      </c>
      <c r="J70" s="61"/>
      <c r="K70" s="61"/>
      <c r="L70" s="78"/>
    </row>
    <row r="71" spans="1:12" ht="16" x14ac:dyDescent="0.2">
      <c r="A71" s="41">
        <v>69</v>
      </c>
      <c r="B71" s="41" t="s">
        <v>717</v>
      </c>
      <c r="C71" s="41">
        <v>322068</v>
      </c>
      <c r="D71" s="61">
        <v>50</v>
      </c>
      <c r="E71" s="61">
        <v>50</v>
      </c>
      <c r="F71" s="61"/>
      <c r="G71" s="61"/>
      <c r="H71" s="61"/>
      <c r="I71" s="61"/>
      <c r="J71" s="61"/>
      <c r="K71" s="61"/>
      <c r="L71" s="78"/>
    </row>
    <row r="72" spans="1:12" ht="16" x14ac:dyDescent="0.2">
      <c r="A72" s="41">
        <v>70</v>
      </c>
      <c r="B72" s="41" t="s">
        <v>718</v>
      </c>
      <c r="C72" s="41">
        <v>322069</v>
      </c>
      <c r="D72" s="61">
        <v>1000</v>
      </c>
      <c r="E72" s="61">
        <v>500</v>
      </c>
      <c r="F72" s="61">
        <v>500</v>
      </c>
      <c r="G72" s="61"/>
      <c r="H72" s="61"/>
      <c r="I72" s="61"/>
      <c r="J72" s="61"/>
      <c r="K72" s="61"/>
      <c r="L72" s="78"/>
    </row>
    <row r="73" spans="1:12" ht="16" x14ac:dyDescent="0.2">
      <c r="A73" s="41">
        <v>71</v>
      </c>
      <c r="B73" s="41" t="s">
        <v>719</v>
      </c>
      <c r="C73" s="41">
        <v>322070</v>
      </c>
      <c r="D73" s="61">
        <v>300</v>
      </c>
      <c r="E73" s="61"/>
      <c r="F73" s="61"/>
      <c r="G73" s="61"/>
      <c r="H73" s="61"/>
      <c r="I73" s="61">
        <v>300</v>
      </c>
      <c r="J73" s="61"/>
      <c r="K73" s="61"/>
      <c r="L73" s="78"/>
    </row>
    <row r="74" spans="1:12" ht="16" x14ac:dyDescent="0.2">
      <c r="A74" s="41">
        <v>72</v>
      </c>
      <c r="B74" s="41" t="s">
        <v>433</v>
      </c>
      <c r="C74" s="41">
        <v>322071</v>
      </c>
      <c r="D74" s="61">
        <v>50</v>
      </c>
      <c r="E74" s="61"/>
      <c r="F74" s="61"/>
      <c r="G74" s="61"/>
      <c r="H74" s="61"/>
      <c r="I74" s="61">
        <v>50</v>
      </c>
      <c r="J74" s="61"/>
      <c r="K74" s="61"/>
      <c r="L74" s="78"/>
    </row>
    <row r="75" spans="1:12" ht="16" x14ac:dyDescent="0.2">
      <c r="A75" s="41">
        <v>73</v>
      </c>
      <c r="B75" s="41" t="s">
        <v>425</v>
      </c>
      <c r="C75" s="41">
        <v>322072</v>
      </c>
      <c r="D75" s="61">
        <v>10000</v>
      </c>
      <c r="E75" s="61"/>
      <c r="F75" s="61"/>
      <c r="G75" s="61"/>
      <c r="H75" s="61"/>
      <c r="I75" s="61">
        <v>10000</v>
      </c>
      <c r="J75" s="61"/>
      <c r="K75" s="61"/>
      <c r="L75" s="78"/>
    </row>
    <row r="76" spans="1:12" ht="16" x14ac:dyDescent="0.2">
      <c r="A76" s="41">
        <v>74</v>
      </c>
      <c r="B76" s="41" t="s">
        <v>570</v>
      </c>
      <c r="C76" s="41">
        <v>322073</v>
      </c>
      <c r="D76" s="61">
        <v>1100</v>
      </c>
      <c r="E76" s="61"/>
      <c r="F76" s="61">
        <v>50</v>
      </c>
      <c r="G76" s="61">
        <v>50</v>
      </c>
      <c r="H76" s="61"/>
      <c r="I76" s="61">
        <v>1000</v>
      </c>
      <c r="J76" s="61"/>
      <c r="K76" s="61"/>
      <c r="L76" s="78"/>
    </row>
    <row r="77" spans="1:12" ht="16" x14ac:dyDescent="0.2">
      <c r="A77" s="41">
        <v>75</v>
      </c>
      <c r="B77" s="41" t="s">
        <v>507</v>
      </c>
      <c r="C77" s="41">
        <v>322074</v>
      </c>
      <c r="D77" s="61">
        <v>200</v>
      </c>
      <c r="E77" s="61"/>
      <c r="F77" s="61"/>
      <c r="G77" s="61"/>
      <c r="H77" s="61"/>
      <c r="I77" s="61">
        <v>200</v>
      </c>
      <c r="J77" s="61"/>
      <c r="K77" s="61"/>
      <c r="L77" s="78"/>
    </row>
    <row r="78" spans="1:12" ht="16" x14ac:dyDescent="0.2">
      <c r="A78" s="41">
        <v>76</v>
      </c>
      <c r="B78" s="41" t="s">
        <v>720</v>
      </c>
      <c r="C78" s="41">
        <v>322075</v>
      </c>
      <c r="D78" s="61">
        <v>100</v>
      </c>
      <c r="E78" s="61"/>
      <c r="F78" s="61">
        <v>100</v>
      </c>
      <c r="G78" s="61"/>
      <c r="H78" s="61"/>
      <c r="I78" s="61"/>
      <c r="J78" s="61"/>
      <c r="K78" s="61"/>
      <c r="L78" s="78"/>
    </row>
    <row r="79" spans="1:12" ht="16" x14ac:dyDescent="0.2">
      <c r="A79" s="41">
        <v>77</v>
      </c>
      <c r="B79" s="41" t="s">
        <v>555</v>
      </c>
      <c r="C79" s="41">
        <v>322076</v>
      </c>
      <c r="D79" s="61">
        <v>3000</v>
      </c>
      <c r="E79" s="61">
        <v>3000</v>
      </c>
      <c r="F79" s="61"/>
      <c r="G79" s="61"/>
      <c r="H79" s="61"/>
      <c r="I79" s="61"/>
      <c r="J79" s="61"/>
      <c r="K79" s="61"/>
      <c r="L79" s="78"/>
    </row>
    <row r="80" spans="1:12" ht="16" x14ac:dyDescent="0.2">
      <c r="A80" s="41">
        <v>78</v>
      </c>
      <c r="B80" s="41" t="s">
        <v>721</v>
      </c>
      <c r="C80" s="41">
        <v>322077</v>
      </c>
      <c r="D80" s="61">
        <v>4350</v>
      </c>
      <c r="E80" s="61">
        <v>4350</v>
      </c>
      <c r="F80" s="61"/>
      <c r="G80" s="61"/>
      <c r="H80" s="61"/>
      <c r="I80" s="61"/>
      <c r="J80" s="61"/>
      <c r="K80" s="61"/>
      <c r="L80" s="78"/>
    </row>
    <row r="81" spans="1:13" ht="16" x14ac:dyDescent="0.2">
      <c r="A81" s="41">
        <v>79</v>
      </c>
      <c r="B81" s="41" t="s">
        <v>635</v>
      </c>
      <c r="C81" s="41">
        <v>322078</v>
      </c>
      <c r="D81" s="61">
        <v>200</v>
      </c>
      <c r="E81" s="61">
        <v>200</v>
      </c>
      <c r="F81" s="61"/>
      <c r="G81" s="61"/>
      <c r="H81" s="61"/>
      <c r="I81" s="61"/>
      <c r="J81" s="61"/>
      <c r="K81" s="61"/>
      <c r="L81" s="78"/>
    </row>
    <row r="82" spans="1:13" ht="16" x14ac:dyDescent="0.2">
      <c r="A82" s="41">
        <v>80</v>
      </c>
      <c r="B82" s="41" t="s">
        <v>622</v>
      </c>
      <c r="C82" s="41">
        <v>322079</v>
      </c>
      <c r="D82" s="61">
        <v>500</v>
      </c>
      <c r="E82" s="61">
        <v>500</v>
      </c>
      <c r="F82" s="61"/>
      <c r="G82" s="61"/>
      <c r="H82" s="61"/>
      <c r="I82" s="61"/>
      <c r="J82" s="61"/>
      <c r="K82" s="61"/>
      <c r="L82" s="78"/>
    </row>
    <row r="83" spans="1:13" ht="16" x14ac:dyDescent="0.2">
      <c r="A83" s="41">
        <v>81</v>
      </c>
      <c r="B83" s="41" t="s">
        <v>722</v>
      </c>
      <c r="C83" s="41">
        <v>322080</v>
      </c>
      <c r="D83" s="61">
        <v>240</v>
      </c>
      <c r="E83" s="61">
        <v>240</v>
      </c>
      <c r="F83" s="61"/>
      <c r="G83" s="61"/>
      <c r="H83" s="61"/>
      <c r="I83" s="61"/>
      <c r="J83" s="61"/>
      <c r="K83" s="61"/>
      <c r="L83" s="78"/>
    </row>
    <row r="84" spans="1:13" ht="16" x14ac:dyDescent="0.2">
      <c r="A84" s="41">
        <v>82</v>
      </c>
      <c r="B84" s="41" t="s">
        <v>164</v>
      </c>
      <c r="C84" s="41">
        <v>322081</v>
      </c>
      <c r="D84" s="61">
        <v>100</v>
      </c>
      <c r="E84" s="61"/>
      <c r="F84" s="61"/>
      <c r="G84" s="61">
        <v>50</v>
      </c>
      <c r="H84" s="61"/>
      <c r="I84" s="61">
        <v>50</v>
      </c>
      <c r="J84" s="61"/>
      <c r="K84" s="61"/>
      <c r="L84" s="78"/>
    </row>
    <row r="85" spans="1:13" ht="16" x14ac:dyDescent="0.2">
      <c r="A85" s="41">
        <v>83</v>
      </c>
      <c r="B85" s="41" t="s">
        <v>430</v>
      </c>
      <c r="C85" s="41">
        <v>322082</v>
      </c>
      <c r="D85" s="61">
        <v>200</v>
      </c>
      <c r="E85" s="61"/>
      <c r="F85" s="61"/>
      <c r="G85" s="61"/>
      <c r="H85" s="61"/>
      <c r="I85" s="61">
        <v>200</v>
      </c>
      <c r="J85" s="61"/>
      <c r="K85" s="61"/>
      <c r="L85" s="78"/>
    </row>
    <row r="86" spans="1:13" ht="16" x14ac:dyDescent="0.2">
      <c r="A86" s="41">
        <v>84</v>
      </c>
      <c r="B86" s="41" t="s">
        <v>723</v>
      </c>
      <c r="C86" s="41">
        <v>322083</v>
      </c>
      <c r="D86" s="61">
        <v>100</v>
      </c>
      <c r="E86" s="61"/>
      <c r="F86" s="61"/>
      <c r="G86" s="61"/>
      <c r="H86" s="61"/>
      <c r="I86" s="61">
        <v>100</v>
      </c>
      <c r="J86" s="61"/>
      <c r="K86" s="61"/>
      <c r="L86" s="78"/>
    </row>
    <row r="87" spans="1:13" ht="16" x14ac:dyDescent="0.2">
      <c r="A87" s="41">
        <v>85</v>
      </c>
      <c r="B87" s="41" t="s">
        <v>629</v>
      </c>
      <c r="C87" s="41">
        <v>322084</v>
      </c>
      <c r="D87" s="61">
        <v>100</v>
      </c>
      <c r="E87" s="61"/>
      <c r="F87" s="61"/>
      <c r="G87" s="61"/>
      <c r="H87" s="61">
        <v>100</v>
      </c>
      <c r="I87" s="61"/>
      <c r="J87" s="61"/>
      <c r="K87" s="61"/>
      <c r="L87" s="78"/>
    </row>
    <row r="88" spans="1:13" ht="16" x14ac:dyDescent="0.2">
      <c r="A88" s="41">
        <v>86</v>
      </c>
      <c r="B88" s="41" t="s">
        <v>628</v>
      </c>
      <c r="C88" s="41">
        <v>322085</v>
      </c>
      <c r="D88" s="61">
        <v>100</v>
      </c>
      <c r="E88" s="61"/>
      <c r="F88" s="61"/>
      <c r="G88" s="61"/>
      <c r="H88" s="61">
        <v>100</v>
      </c>
      <c r="I88" s="61"/>
      <c r="J88" s="61"/>
      <c r="K88" s="61"/>
      <c r="L88" s="78"/>
    </row>
    <row r="89" spans="1:13" ht="16" x14ac:dyDescent="0.2">
      <c r="A89" s="41">
        <v>87</v>
      </c>
      <c r="B89" s="41" t="s">
        <v>724</v>
      </c>
      <c r="C89" s="41">
        <v>322086</v>
      </c>
      <c r="D89" s="61">
        <v>100</v>
      </c>
      <c r="E89" s="61"/>
      <c r="F89" s="61"/>
      <c r="G89" s="61"/>
      <c r="H89" s="61">
        <v>100</v>
      </c>
      <c r="I89" s="61"/>
      <c r="J89" s="61"/>
      <c r="K89" s="61"/>
      <c r="L89" s="78"/>
      <c r="M89" s="78"/>
    </row>
    <row r="90" spans="1:13" ht="16" x14ac:dyDescent="0.2">
      <c r="A90" s="41">
        <v>88</v>
      </c>
      <c r="B90" s="41" t="s">
        <v>506</v>
      </c>
      <c r="C90" s="41">
        <v>322087</v>
      </c>
      <c r="D90" s="61">
        <v>100</v>
      </c>
      <c r="E90" s="61">
        <v>100</v>
      </c>
      <c r="F90" s="61"/>
      <c r="G90" s="61"/>
      <c r="H90" s="61"/>
      <c r="I90" s="61"/>
      <c r="J90" s="61"/>
      <c r="K90" s="61"/>
      <c r="L90" s="78"/>
    </row>
    <row r="91" spans="1:13" ht="16" x14ac:dyDescent="0.2">
      <c r="A91" s="41">
        <v>89</v>
      </c>
      <c r="B91" s="41" t="s">
        <v>725</v>
      </c>
      <c r="C91" s="41">
        <v>322088</v>
      </c>
      <c r="D91" s="61">
        <v>100</v>
      </c>
      <c r="E91" s="61"/>
      <c r="F91" s="61"/>
      <c r="G91" s="61"/>
      <c r="H91" s="61"/>
      <c r="I91" s="61">
        <v>100</v>
      </c>
      <c r="J91" s="61"/>
      <c r="K91" s="61"/>
      <c r="L91" s="78"/>
    </row>
    <row r="92" spans="1:13" ht="16" x14ac:dyDescent="0.2">
      <c r="A92" s="41">
        <v>90</v>
      </c>
      <c r="B92" s="41" t="s">
        <v>638</v>
      </c>
      <c r="C92" s="41">
        <v>322089</v>
      </c>
      <c r="D92" s="61">
        <v>150</v>
      </c>
      <c r="E92" s="61"/>
      <c r="F92" s="61"/>
      <c r="G92" s="61"/>
      <c r="H92" s="61"/>
      <c r="I92" s="61">
        <v>150</v>
      </c>
      <c r="J92" s="61"/>
      <c r="K92" s="61"/>
      <c r="L92" s="78"/>
    </row>
    <row r="93" spans="1:13" ht="16" x14ac:dyDescent="0.2">
      <c r="A93" s="41">
        <v>91</v>
      </c>
      <c r="B93" s="41" t="s">
        <v>726</v>
      </c>
      <c r="C93" s="41">
        <v>322090</v>
      </c>
      <c r="D93" s="61">
        <v>100</v>
      </c>
      <c r="E93" s="61"/>
      <c r="F93" s="61"/>
      <c r="G93" s="61"/>
      <c r="H93" s="61"/>
      <c r="I93" s="61">
        <v>100</v>
      </c>
      <c r="J93" s="61"/>
      <c r="K93" s="61"/>
      <c r="L93" s="78"/>
    </row>
    <row r="94" spans="1:13" ht="16" x14ac:dyDescent="0.2">
      <c r="A94" s="41">
        <v>92</v>
      </c>
      <c r="B94" s="41" t="s">
        <v>727</v>
      </c>
      <c r="C94" s="41">
        <v>322091</v>
      </c>
      <c r="D94" s="61">
        <v>100</v>
      </c>
      <c r="E94" s="61"/>
      <c r="F94" s="61"/>
      <c r="G94" s="61"/>
      <c r="H94" s="61"/>
      <c r="I94" s="61">
        <v>100</v>
      </c>
      <c r="J94" s="61"/>
      <c r="K94" s="61"/>
      <c r="L94" s="78"/>
    </row>
    <row r="95" spans="1:13" ht="16" x14ac:dyDescent="0.2">
      <c r="A95" s="41">
        <v>93</v>
      </c>
      <c r="B95" s="41" t="s">
        <v>585</v>
      </c>
      <c r="C95" s="41">
        <v>322092</v>
      </c>
      <c r="D95" s="61">
        <v>30</v>
      </c>
      <c r="E95" s="61"/>
      <c r="F95" s="61"/>
      <c r="G95" s="61"/>
      <c r="H95" s="61"/>
      <c r="I95" s="61"/>
      <c r="J95" s="61"/>
      <c r="K95" s="61">
        <v>30</v>
      </c>
      <c r="L95" s="78"/>
    </row>
    <row r="96" spans="1:13" ht="16" x14ac:dyDescent="0.2">
      <c r="A96" s="41">
        <v>94</v>
      </c>
      <c r="B96" s="41" t="s">
        <v>728</v>
      </c>
      <c r="C96" s="41">
        <v>322093</v>
      </c>
      <c r="D96" s="61">
        <v>100</v>
      </c>
      <c r="E96" s="61"/>
      <c r="F96" s="61"/>
      <c r="G96" s="61"/>
      <c r="H96" s="61"/>
      <c r="I96" s="61">
        <v>100</v>
      </c>
      <c r="J96" s="61"/>
      <c r="K96" s="61"/>
      <c r="L96" s="78"/>
    </row>
    <row r="97" spans="1:12" ht="16" x14ac:dyDescent="0.2">
      <c r="A97" s="41">
        <v>95</v>
      </c>
      <c r="B97" s="41" t="s">
        <v>729</v>
      </c>
      <c r="C97" s="41">
        <v>322094</v>
      </c>
      <c r="D97" s="61">
        <v>150</v>
      </c>
      <c r="E97" s="61"/>
      <c r="F97" s="61">
        <v>150</v>
      </c>
      <c r="G97" s="61"/>
      <c r="H97" s="61"/>
      <c r="I97" s="61"/>
      <c r="J97" s="61"/>
      <c r="K97" s="61"/>
      <c r="L97" s="78"/>
    </row>
    <row r="98" spans="1:12" ht="16" x14ac:dyDescent="0.2">
      <c r="A98" s="41">
        <v>96</v>
      </c>
      <c r="B98" s="41" t="s">
        <v>730</v>
      </c>
      <c r="C98" s="41">
        <v>322095</v>
      </c>
      <c r="D98" s="61">
        <v>50</v>
      </c>
      <c r="E98" s="61">
        <v>50</v>
      </c>
      <c r="F98" s="61"/>
      <c r="G98" s="61"/>
      <c r="H98" s="61"/>
      <c r="I98" s="61"/>
      <c r="J98" s="61"/>
      <c r="K98" s="61"/>
      <c r="L98" s="78"/>
    </row>
    <row r="99" spans="1:12" ht="16" x14ac:dyDescent="0.2">
      <c r="A99" s="41">
        <v>97</v>
      </c>
      <c r="B99" s="41" t="s">
        <v>731</v>
      </c>
      <c r="C99" s="41">
        <v>322096</v>
      </c>
      <c r="D99" s="61">
        <v>50</v>
      </c>
      <c r="E99" s="61">
        <v>50</v>
      </c>
      <c r="F99" s="61"/>
      <c r="G99" s="61"/>
      <c r="H99" s="61"/>
      <c r="I99" s="61"/>
      <c r="J99" s="61"/>
      <c r="K99" s="61"/>
      <c r="L99" s="78"/>
    </row>
    <row r="100" spans="1:12" ht="16" x14ac:dyDescent="0.2">
      <c r="A100" s="41">
        <v>98</v>
      </c>
      <c r="B100" s="41" t="s">
        <v>604</v>
      </c>
      <c r="C100" s="41">
        <v>322097</v>
      </c>
      <c r="D100" s="61">
        <v>500</v>
      </c>
      <c r="E100" s="61">
        <v>500</v>
      </c>
      <c r="F100" s="61"/>
      <c r="G100" s="61"/>
      <c r="H100" s="61"/>
      <c r="I100" s="61"/>
      <c r="J100" s="61"/>
      <c r="K100" s="61"/>
      <c r="L100" s="78"/>
    </row>
    <row r="101" spans="1:12" ht="16" x14ac:dyDescent="0.2">
      <c r="A101" s="41">
        <v>99</v>
      </c>
      <c r="B101" s="41" t="s">
        <v>732</v>
      </c>
      <c r="C101" s="41">
        <v>322098</v>
      </c>
      <c r="D101" s="61">
        <v>100</v>
      </c>
      <c r="E101" s="61">
        <v>100</v>
      </c>
      <c r="F101" s="61"/>
      <c r="G101" s="61"/>
      <c r="H101" s="61"/>
      <c r="I101" s="61"/>
      <c r="J101" s="61"/>
      <c r="K101" s="61"/>
      <c r="L101" s="78"/>
    </row>
    <row r="102" spans="1:12" ht="16" x14ac:dyDescent="0.2">
      <c r="A102" s="41">
        <v>100</v>
      </c>
      <c r="B102" s="41" t="s">
        <v>469</v>
      </c>
      <c r="C102" s="41">
        <v>322099</v>
      </c>
      <c r="D102" s="61">
        <v>50</v>
      </c>
      <c r="E102" s="61">
        <v>50</v>
      </c>
      <c r="F102" s="61"/>
      <c r="G102" s="61"/>
      <c r="H102" s="61"/>
      <c r="I102" s="61"/>
      <c r="J102" s="61"/>
      <c r="K102" s="61"/>
      <c r="L102" s="78"/>
    </row>
    <row r="103" spans="1:12" ht="16" x14ac:dyDescent="0.2">
      <c r="A103" s="41">
        <v>101</v>
      </c>
      <c r="B103" s="41" t="s">
        <v>733</v>
      </c>
      <c r="C103" s="41">
        <v>322100</v>
      </c>
      <c r="D103" s="61">
        <v>100</v>
      </c>
      <c r="E103" s="61"/>
      <c r="F103" s="61">
        <v>100</v>
      </c>
      <c r="G103" s="61"/>
      <c r="H103" s="61"/>
      <c r="I103" s="61"/>
      <c r="J103" s="61"/>
      <c r="K103" s="61"/>
      <c r="L103" s="78"/>
    </row>
    <row r="104" spans="1:12" ht="16" x14ac:dyDescent="0.2">
      <c r="A104" s="41">
        <v>102</v>
      </c>
      <c r="B104" s="41" t="s">
        <v>734</v>
      </c>
      <c r="C104" s="41">
        <v>322101</v>
      </c>
      <c r="D104" s="61">
        <v>100</v>
      </c>
      <c r="E104" s="61"/>
      <c r="F104" s="61">
        <v>100</v>
      </c>
      <c r="G104" s="61"/>
      <c r="H104" s="61"/>
      <c r="I104" s="61"/>
      <c r="J104" s="61"/>
      <c r="K104" s="61"/>
      <c r="L104" s="78"/>
    </row>
    <row r="105" spans="1:12" ht="16" x14ac:dyDescent="0.2">
      <c r="A105" s="41">
        <v>103</v>
      </c>
      <c r="B105" s="41" t="s">
        <v>598</v>
      </c>
      <c r="C105" s="41">
        <v>322102</v>
      </c>
      <c r="D105" s="61">
        <v>510</v>
      </c>
      <c r="E105" s="61">
        <v>510</v>
      </c>
      <c r="F105" s="61"/>
      <c r="G105" s="61"/>
      <c r="H105" s="61"/>
      <c r="I105" s="61"/>
      <c r="J105" s="61"/>
      <c r="K105" s="61"/>
      <c r="L105" s="78"/>
    </row>
    <row r="106" spans="1:12" ht="16" x14ac:dyDescent="0.2">
      <c r="A106" s="41">
        <v>104</v>
      </c>
      <c r="B106" s="41" t="s">
        <v>461</v>
      </c>
      <c r="C106" s="41">
        <v>322103</v>
      </c>
      <c r="D106" s="61">
        <v>50</v>
      </c>
      <c r="E106" s="61"/>
      <c r="F106" s="61">
        <v>50</v>
      </c>
      <c r="G106" s="61"/>
      <c r="H106" s="61"/>
      <c r="I106" s="61"/>
      <c r="J106" s="61"/>
      <c r="K106" s="61"/>
      <c r="L106" s="78"/>
    </row>
    <row r="107" spans="1:12" ht="16" x14ac:dyDescent="0.2">
      <c r="A107" s="41">
        <v>105</v>
      </c>
      <c r="B107" s="41" t="s">
        <v>735</v>
      </c>
      <c r="C107" s="41">
        <v>322104</v>
      </c>
      <c r="D107" s="61">
        <v>100</v>
      </c>
      <c r="E107" s="61">
        <v>100</v>
      </c>
      <c r="F107" s="61"/>
      <c r="G107" s="61"/>
      <c r="H107" s="61"/>
      <c r="I107" s="61"/>
      <c r="J107" s="61"/>
      <c r="K107" s="61"/>
      <c r="L107" s="78"/>
    </row>
    <row r="108" spans="1:12" ht="16" x14ac:dyDescent="0.2">
      <c r="A108" s="41">
        <v>106</v>
      </c>
      <c r="B108" s="41" t="s">
        <v>572</v>
      </c>
      <c r="C108" s="41">
        <v>322105</v>
      </c>
      <c r="D108" s="61">
        <v>500</v>
      </c>
      <c r="E108" s="61">
        <v>500</v>
      </c>
      <c r="F108" s="61"/>
      <c r="G108" s="61"/>
      <c r="H108" s="61"/>
      <c r="I108" s="61"/>
      <c r="J108" s="61"/>
      <c r="K108" s="61"/>
      <c r="L108" s="78"/>
    </row>
    <row r="109" spans="1:12" ht="16" x14ac:dyDescent="0.2">
      <c r="A109" s="41">
        <v>107</v>
      </c>
      <c r="B109" s="41" t="s">
        <v>636</v>
      </c>
      <c r="C109" s="41">
        <v>322106</v>
      </c>
      <c r="D109" s="61">
        <v>50</v>
      </c>
      <c r="E109" s="61">
        <v>50</v>
      </c>
      <c r="F109" s="61"/>
      <c r="G109" s="61"/>
      <c r="H109" s="61"/>
      <c r="I109" s="61"/>
      <c r="J109" s="61"/>
      <c r="K109" s="61"/>
      <c r="L109" s="78"/>
    </row>
    <row r="110" spans="1:12" ht="16" x14ac:dyDescent="0.2">
      <c r="A110" s="41">
        <v>108</v>
      </c>
      <c r="B110" s="41" t="s">
        <v>736</v>
      </c>
      <c r="C110" s="41">
        <v>322107</v>
      </c>
      <c r="D110" s="61">
        <v>15000</v>
      </c>
      <c r="E110" s="61">
        <v>15000</v>
      </c>
      <c r="F110" s="61"/>
      <c r="G110" s="61"/>
      <c r="H110" s="61"/>
      <c r="I110" s="61"/>
      <c r="J110" s="61"/>
      <c r="K110" s="61"/>
      <c r="L110" s="78"/>
    </row>
    <row r="111" spans="1:12" ht="16" x14ac:dyDescent="0.2">
      <c r="A111" s="41"/>
      <c r="B111" s="41"/>
      <c r="C111" s="41"/>
      <c r="D111" s="61"/>
      <c r="E111" s="61"/>
      <c r="F111" s="61"/>
      <c r="G111" s="61"/>
      <c r="H111" s="61"/>
      <c r="I111" s="61"/>
      <c r="J111" s="61"/>
      <c r="K111" s="61"/>
      <c r="L111" s="78"/>
    </row>
    <row r="112" spans="1:12" ht="16" x14ac:dyDescent="0.2">
      <c r="A112" s="41"/>
      <c r="B112" s="41"/>
      <c r="C112" s="41"/>
      <c r="D112" s="61"/>
      <c r="E112" s="61"/>
      <c r="F112" s="61"/>
      <c r="G112" s="61"/>
      <c r="H112" s="61"/>
      <c r="I112" s="61"/>
      <c r="J112" s="61"/>
      <c r="K112" s="61"/>
      <c r="L112" s="78"/>
    </row>
    <row r="113" spans="1:12" ht="16" x14ac:dyDescent="0.2">
      <c r="A113" s="41"/>
      <c r="B113" s="41"/>
      <c r="C113" s="41"/>
      <c r="D113" s="61"/>
      <c r="E113" s="61"/>
      <c r="F113" s="61"/>
      <c r="G113" s="61"/>
      <c r="H113" s="61"/>
      <c r="I113" s="61"/>
      <c r="J113" s="61"/>
      <c r="K113" s="61"/>
      <c r="L113" s="78"/>
    </row>
    <row r="114" spans="1:12" ht="16" x14ac:dyDescent="0.2">
      <c r="A114" s="41"/>
      <c r="B114" s="41"/>
      <c r="C114" s="41"/>
      <c r="D114" s="61"/>
      <c r="E114" s="61"/>
      <c r="F114" s="61"/>
      <c r="G114" s="61"/>
      <c r="H114" s="61"/>
      <c r="I114" s="61"/>
      <c r="J114" s="61"/>
      <c r="K114" s="61"/>
      <c r="L114" s="78">
        <f>SUM(E114:K114)-D114</f>
        <v>0</v>
      </c>
    </row>
    <row r="115" spans="1:12" ht="16" x14ac:dyDescent="0.2">
      <c r="A115" s="41"/>
      <c r="B115" s="41"/>
      <c r="C115" s="41"/>
      <c r="D115" s="88">
        <f t="shared" ref="D115:J115" si="0">SUM(D1:D114)</f>
        <v>83782</v>
      </c>
      <c r="E115" s="88">
        <f t="shared" si="0"/>
        <v>56147</v>
      </c>
      <c r="F115" s="88">
        <f t="shared" si="0"/>
        <v>7255</v>
      </c>
      <c r="G115" s="88">
        <f t="shared" si="0"/>
        <v>200</v>
      </c>
      <c r="H115" s="88">
        <f t="shared" si="0"/>
        <v>880</v>
      </c>
      <c r="I115" s="88">
        <f t="shared" si="0"/>
        <v>13870</v>
      </c>
      <c r="J115" s="88">
        <f t="shared" si="0"/>
        <v>5400</v>
      </c>
      <c r="K115" s="88">
        <f t="shared" ref="K115" si="1">SUM(K1:K114)</f>
        <v>30</v>
      </c>
      <c r="L115" s="78">
        <f>SUM(E115:K115)-D115</f>
        <v>0</v>
      </c>
    </row>
    <row r="116" spans="1:12" ht="15" customHeight="1" x14ac:dyDescent="0.2">
      <c r="L116" s="78"/>
    </row>
    <row r="117" spans="1:12" ht="16" x14ac:dyDescent="0.2">
      <c r="L117" s="78"/>
    </row>
    <row r="118" spans="1:12" ht="16" x14ac:dyDescent="0.2">
      <c r="B118" s="50" t="s">
        <v>130</v>
      </c>
      <c r="C118" s="51"/>
      <c r="L118" s="78"/>
    </row>
    <row r="119" spans="1:12" ht="16" x14ac:dyDescent="0.2">
      <c r="B119" s="52" t="s">
        <v>131</v>
      </c>
      <c r="C119" s="53"/>
      <c r="K119" s="40"/>
    </row>
    <row r="120" spans="1:12" ht="16" x14ac:dyDescent="0.2">
      <c r="B120" s="52" t="s">
        <v>4</v>
      </c>
      <c r="C120" s="54">
        <f>E115</f>
        <v>56147</v>
      </c>
      <c r="K120" s="40"/>
    </row>
    <row r="121" spans="1:12" ht="16" x14ac:dyDescent="0.2">
      <c r="B121" s="52" t="s">
        <v>132</v>
      </c>
      <c r="C121" s="55">
        <f>F115/2</f>
        <v>3627.5</v>
      </c>
      <c r="K121" s="40"/>
    </row>
    <row r="122" spans="1:12" ht="16" x14ac:dyDescent="0.2">
      <c r="B122" s="52" t="s">
        <v>133</v>
      </c>
      <c r="C122" s="54">
        <f>G115</f>
        <v>200</v>
      </c>
      <c r="K122" s="40"/>
    </row>
    <row r="123" spans="1:12" ht="16" x14ac:dyDescent="0.2">
      <c r="B123" s="52" t="s">
        <v>6</v>
      </c>
      <c r="C123" s="55">
        <f>J115/2</f>
        <v>2700</v>
      </c>
      <c r="K123" s="40"/>
    </row>
    <row r="124" spans="1:12" ht="16" x14ac:dyDescent="0.2">
      <c r="B124" s="52" t="s">
        <v>134</v>
      </c>
      <c r="C124" s="54">
        <v>0</v>
      </c>
      <c r="K124" s="40"/>
    </row>
    <row r="125" spans="1:12" ht="16" x14ac:dyDescent="0.2">
      <c r="B125" s="52" t="s">
        <v>135</v>
      </c>
      <c r="C125" s="54">
        <v>0</v>
      </c>
      <c r="K125" s="40"/>
    </row>
    <row r="126" spans="1:12" ht="16" x14ac:dyDescent="0.2">
      <c r="B126" s="52" t="s">
        <v>3</v>
      </c>
      <c r="C126" s="56">
        <f>SUM(C120:C125)</f>
        <v>62674.5</v>
      </c>
      <c r="K126" s="40"/>
    </row>
    <row r="127" spans="1:12" ht="16" x14ac:dyDescent="0.2">
      <c r="B127" s="52"/>
      <c r="C127" s="53"/>
      <c r="K127" s="40"/>
    </row>
    <row r="128" spans="1:12" ht="16" x14ac:dyDescent="0.2">
      <c r="B128" s="52" t="s">
        <v>136</v>
      </c>
      <c r="C128" s="89"/>
      <c r="K128" s="40"/>
    </row>
    <row r="129" spans="2:11" ht="16" x14ac:dyDescent="0.2">
      <c r="B129" s="52" t="s">
        <v>132</v>
      </c>
      <c r="C129" s="55">
        <f>F115/2</f>
        <v>3627.5</v>
      </c>
      <c r="K129" s="40"/>
    </row>
    <row r="130" spans="2:11" ht="16" x14ac:dyDescent="0.2">
      <c r="B130" s="52" t="s">
        <v>6</v>
      </c>
      <c r="C130" s="55">
        <f>J115/2</f>
        <v>2700</v>
      </c>
      <c r="K130" s="40"/>
    </row>
    <row r="131" spans="2:11" ht="16" x14ac:dyDescent="0.2">
      <c r="B131" s="52" t="s">
        <v>15</v>
      </c>
      <c r="C131" s="54">
        <f>K115</f>
        <v>30</v>
      </c>
      <c r="K131" s="40"/>
    </row>
    <row r="132" spans="2:11" ht="16" x14ac:dyDescent="0.2">
      <c r="B132" s="52" t="s">
        <v>545</v>
      </c>
      <c r="C132" s="54">
        <f>H115</f>
        <v>880</v>
      </c>
      <c r="K132" s="40"/>
    </row>
    <row r="133" spans="2:11" ht="16" x14ac:dyDescent="0.2">
      <c r="B133" s="52" t="s">
        <v>17</v>
      </c>
      <c r="C133" s="54">
        <v>0</v>
      </c>
      <c r="K133" s="40"/>
    </row>
    <row r="134" spans="2:11" ht="16" x14ac:dyDescent="0.2">
      <c r="B134" s="52" t="s">
        <v>141</v>
      </c>
      <c r="C134" s="54">
        <f>I115</f>
        <v>13870</v>
      </c>
      <c r="K134" s="40"/>
    </row>
    <row r="135" spans="2:11" ht="16" x14ac:dyDescent="0.2">
      <c r="B135" s="52"/>
      <c r="C135" s="54">
        <v>0</v>
      </c>
      <c r="K135" s="40"/>
    </row>
    <row r="136" spans="2:11" ht="16" x14ac:dyDescent="0.2">
      <c r="B136" s="57" t="s">
        <v>3</v>
      </c>
      <c r="C136" s="58">
        <f>SUM(C129:C135)</f>
        <v>21107.5</v>
      </c>
      <c r="K136" s="40"/>
    </row>
    <row r="137" spans="2:11" ht="15" customHeight="1" x14ac:dyDescent="0.2">
      <c r="K137" s="40"/>
    </row>
    <row r="138" spans="2:11" ht="15" customHeight="1" x14ac:dyDescent="0.2">
      <c r="K138" s="40"/>
    </row>
    <row r="139" spans="2:11" ht="15" customHeight="1" x14ac:dyDescent="0.2">
      <c r="C139" s="77">
        <f>D115-C126-C136</f>
        <v>0</v>
      </c>
      <c r="K139" s="40"/>
    </row>
    <row r="140" spans="2:11" ht="15" customHeight="1" x14ac:dyDescent="0.2">
      <c r="K140" s="40"/>
    </row>
    <row r="141" spans="2:11" ht="15" customHeight="1" x14ac:dyDescent="0.2">
      <c r="K141" s="40"/>
    </row>
  </sheetData>
  <mergeCells count="1">
    <mergeCell ref="A1:K1"/>
  </mergeCells>
  <pageMargins left="0.7" right="0.7" top="0.75" bottom="0.75" header="0.3" footer="0.3"/>
  <pageSetup paperSize="9" scale="55" fitToHeight="5" orientation="landscape" horizontalDpi="300" verticalDpi="300" copies="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123"/>
  <sheetViews>
    <sheetView zoomScale="112" workbookViewId="0">
      <pane ySplit="2" topLeftCell="A3" activePane="bottomLeft" state="frozen"/>
      <selection pane="bottomLeft" activeCell="C24" sqref="C24"/>
    </sheetView>
  </sheetViews>
  <sheetFormatPr baseColWidth="10" defaultColWidth="8.6640625" defaultRowHeight="15" customHeight="1" x14ac:dyDescent="0.2"/>
  <cols>
    <col min="1" max="1" width="4.6640625" style="85" customWidth="1"/>
    <col min="2" max="2" width="35.5" style="85" bestFit="1" customWidth="1"/>
    <col min="3" max="3" width="17.6640625" style="85" customWidth="1"/>
    <col min="4" max="4" width="17.33203125" style="87" customWidth="1"/>
    <col min="5" max="5" width="12" style="87" bestFit="1" customWidth="1"/>
    <col min="6" max="6" width="12.1640625" style="87" bestFit="1" customWidth="1"/>
    <col min="7" max="7" width="16.6640625" style="87" bestFit="1" customWidth="1"/>
    <col min="8" max="8" width="12" style="87" customWidth="1"/>
    <col min="9" max="9" width="16.6640625" style="87" bestFit="1" customWidth="1"/>
    <col min="10" max="10" width="10.6640625" style="87" bestFit="1" customWidth="1"/>
    <col min="11" max="11" width="17.5" style="85" bestFit="1" customWidth="1"/>
    <col min="12" max="16384" width="8.6640625" style="85"/>
  </cols>
  <sheetData>
    <row r="1" spans="1:12" s="40" customFormat="1" ht="16" x14ac:dyDescent="0.2">
      <c r="A1" s="186" t="s">
        <v>737</v>
      </c>
      <c r="B1" s="187"/>
      <c r="C1" s="187"/>
      <c r="D1" s="187"/>
      <c r="E1" s="187"/>
      <c r="F1" s="187"/>
      <c r="G1" s="187"/>
      <c r="H1" s="187"/>
      <c r="I1" s="187"/>
      <c r="J1" s="187"/>
      <c r="K1" s="188"/>
      <c r="L1" s="40" t="s">
        <v>0</v>
      </c>
    </row>
    <row r="2" spans="1:12" s="91" customFormat="1" ht="46.5" customHeight="1" x14ac:dyDescent="0.2">
      <c r="A2" s="168" t="s">
        <v>674</v>
      </c>
      <c r="B2" s="90" t="s">
        <v>393</v>
      </c>
      <c r="C2" s="90" t="s">
        <v>394</v>
      </c>
      <c r="D2" s="83" t="s">
        <v>547</v>
      </c>
      <c r="E2" s="83" t="s">
        <v>4</v>
      </c>
      <c r="F2" s="83" t="s">
        <v>395</v>
      </c>
      <c r="G2" s="83" t="s">
        <v>396</v>
      </c>
      <c r="H2" s="83" t="s">
        <v>397</v>
      </c>
      <c r="I2" s="83" t="s">
        <v>675</v>
      </c>
      <c r="J2" s="83" t="s">
        <v>398</v>
      </c>
      <c r="K2" s="169" t="s">
        <v>15</v>
      </c>
    </row>
    <row r="3" spans="1:12" ht="16" x14ac:dyDescent="0.2">
      <c r="A3" s="170">
        <v>1</v>
      </c>
      <c r="B3" s="84" t="s">
        <v>738</v>
      </c>
      <c r="C3" s="84">
        <v>262369</v>
      </c>
      <c r="D3" s="83">
        <v>100</v>
      </c>
      <c r="E3" s="83"/>
      <c r="F3" s="83"/>
      <c r="G3" s="83"/>
      <c r="H3" s="83">
        <v>100</v>
      </c>
      <c r="I3" s="83"/>
      <c r="J3" s="83"/>
      <c r="K3" s="171"/>
      <c r="L3" s="119">
        <f t="shared" ref="L3:L34" si="0">SUM(E3:K3)-D3</f>
        <v>0</v>
      </c>
    </row>
    <row r="4" spans="1:12" ht="16" x14ac:dyDescent="0.2">
      <c r="A4" s="170">
        <v>2</v>
      </c>
      <c r="B4" s="84" t="s">
        <v>739</v>
      </c>
      <c r="C4" s="84">
        <v>262370</v>
      </c>
      <c r="D4" s="83">
        <v>200</v>
      </c>
      <c r="E4" s="83"/>
      <c r="F4" s="83">
        <v>200</v>
      </c>
      <c r="G4" s="83"/>
      <c r="H4" s="83"/>
      <c r="I4" s="83"/>
      <c r="J4" s="83"/>
      <c r="K4" s="171"/>
      <c r="L4" s="119">
        <f t="shared" si="0"/>
        <v>0</v>
      </c>
    </row>
    <row r="5" spans="1:12" ht="16" x14ac:dyDescent="0.2">
      <c r="A5" s="170">
        <v>3</v>
      </c>
      <c r="B5" s="84" t="s">
        <v>740</v>
      </c>
      <c r="C5" s="84">
        <v>262371</v>
      </c>
      <c r="D5" s="83">
        <v>200</v>
      </c>
      <c r="E5" s="83">
        <v>200</v>
      </c>
      <c r="F5" s="83"/>
      <c r="G5" s="83"/>
      <c r="H5" s="83"/>
      <c r="I5" s="83"/>
      <c r="J5" s="83"/>
      <c r="K5" s="171"/>
      <c r="L5" s="119">
        <f t="shared" si="0"/>
        <v>0</v>
      </c>
    </row>
    <row r="6" spans="1:12" ht="16" x14ac:dyDescent="0.2">
      <c r="A6" s="170">
        <v>4</v>
      </c>
      <c r="B6" s="84" t="s">
        <v>741</v>
      </c>
      <c r="C6" s="84">
        <v>262372</v>
      </c>
      <c r="D6" s="83">
        <v>200</v>
      </c>
      <c r="E6" s="83"/>
      <c r="F6" s="83">
        <v>100</v>
      </c>
      <c r="G6" s="83"/>
      <c r="H6" s="83"/>
      <c r="I6" s="83">
        <v>100</v>
      </c>
      <c r="J6" s="83"/>
      <c r="K6" s="171"/>
      <c r="L6" s="119">
        <f t="shared" si="0"/>
        <v>0</v>
      </c>
    </row>
    <row r="7" spans="1:12" ht="16" x14ac:dyDescent="0.2">
      <c r="A7" s="170">
        <v>5</v>
      </c>
      <c r="B7" s="84" t="s">
        <v>742</v>
      </c>
      <c r="C7" s="84">
        <v>262373</v>
      </c>
      <c r="D7" s="83">
        <v>50</v>
      </c>
      <c r="E7" s="83">
        <v>50</v>
      </c>
      <c r="F7" s="83"/>
      <c r="G7" s="83"/>
      <c r="H7" s="83"/>
      <c r="I7" s="83"/>
      <c r="J7" s="83"/>
      <c r="K7" s="171"/>
      <c r="L7" s="119">
        <f t="shared" si="0"/>
        <v>0</v>
      </c>
    </row>
    <row r="8" spans="1:12" ht="16" x14ac:dyDescent="0.2">
      <c r="A8" s="170">
        <v>6</v>
      </c>
      <c r="B8" s="84" t="s">
        <v>743</v>
      </c>
      <c r="C8" s="84">
        <v>262374</v>
      </c>
      <c r="D8" s="83">
        <v>50</v>
      </c>
      <c r="E8" s="86"/>
      <c r="F8" s="86">
        <v>50</v>
      </c>
      <c r="G8" s="86"/>
      <c r="H8" s="86"/>
      <c r="I8" s="86"/>
      <c r="J8" s="83"/>
      <c r="K8" s="171"/>
      <c r="L8" s="119">
        <f t="shared" si="0"/>
        <v>0</v>
      </c>
    </row>
    <row r="9" spans="1:12" ht="16" x14ac:dyDescent="0.2">
      <c r="A9" s="170">
        <v>7</v>
      </c>
      <c r="B9" s="84" t="s">
        <v>744</v>
      </c>
      <c r="C9" s="84">
        <v>262375</v>
      </c>
      <c r="D9" s="83">
        <v>100</v>
      </c>
      <c r="E9" s="83"/>
      <c r="F9" s="83">
        <v>100</v>
      </c>
      <c r="G9" s="83"/>
      <c r="H9" s="83"/>
      <c r="I9" s="83"/>
      <c r="J9" s="83"/>
      <c r="K9" s="171"/>
      <c r="L9" s="119">
        <f t="shared" si="0"/>
        <v>0</v>
      </c>
    </row>
    <row r="10" spans="1:12" ht="16" x14ac:dyDescent="0.2">
      <c r="A10" s="170">
        <v>8</v>
      </c>
      <c r="B10" s="84" t="s">
        <v>745</v>
      </c>
      <c r="C10" s="84">
        <v>262376</v>
      </c>
      <c r="D10" s="83">
        <v>200</v>
      </c>
      <c r="E10" s="83">
        <v>200</v>
      </c>
      <c r="F10" s="83"/>
      <c r="G10" s="83"/>
      <c r="H10" s="83"/>
      <c r="I10" s="83"/>
      <c r="J10" s="83"/>
      <c r="K10" s="171"/>
      <c r="L10" s="119">
        <f t="shared" si="0"/>
        <v>0</v>
      </c>
    </row>
    <row r="11" spans="1:12" ht="16" x14ac:dyDescent="0.2">
      <c r="A11" s="170">
        <v>9</v>
      </c>
      <c r="B11" s="84" t="s">
        <v>746</v>
      </c>
      <c r="C11" s="84">
        <v>262377</v>
      </c>
      <c r="D11" s="83">
        <v>500</v>
      </c>
      <c r="E11" s="83"/>
      <c r="F11" s="83">
        <v>500</v>
      </c>
      <c r="G11" s="83"/>
      <c r="H11" s="83"/>
      <c r="I11" s="83"/>
      <c r="J11" s="83"/>
      <c r="K11" s="171"/>
      <c r="L11" s="119">
        <f t="shared" si="0"/>
        <v>0</v>
      </c>
    </row>
    <row r="12" spans="1:12" ht="16" x14ac:dyDescent="0.2">
      <c r="A12" s="170">
        <v>10</v>
      </c>
      <c r="B12" s="84" t="s">
        <v>747</v>
      </c>
      <c r="C12" s="84">
        <v>262378</v>
      </c>
      <c r="D12" s="83">
        <v>10100</v>
      </c>
      <c r="E12" s="83">
        <v>10000</v>
      </c>
      <c r="F12" s="83"/>
      <c r="G12" s="83"/>
      <c r="H12" s="83"/>
      <c r="I12" s="83">
        <v>100</v>
      </c>
      <c r="J12" s="83"/>
      <c r="K12" s="171"/>
      <c r="L12" s="119">
        <f t="shared" si="0"/>
        <v>0</v>
      </c>
    </row>
    <row r="13" spans="1:12" ht="16" x14ac:dyDescent="0.2">
      <c r="A13" s="170">
        <v>11</v>
      </c>
      <c r="B13" s="84" t="s">
        <v>748</v>
      </c>
      <c r="C13" s="84">
        <v>262379</v>
      </c>
      <c r="D13" s="86">
        <v>50</v>
      </c>
      <c r="E13" s="86"/>
      <c r="F13" s="86">
        <v>50</v>
      </c>
      <c r="G13" s="86"/>
      <c r="H13" s="86"/>
      <c r="I13" s="86"/>
      <c r="J13" s="86"/>
      <c r="K13" s="171"/>
      <c r="L13" s="119">
        <f t="shared" si="0"/>
        <v>0</v>
      </c>
    </row>
    <row r="14" spans="1:12" ht="16" x14ac:dyDescent="0.2">
      <c r="A14" s="170">
        <v>12</v>
      </c>
      <c r="B14" s="84" t="s">
        <v>749</v>
      </c>
      <c r="C14" s="84">
        <v>262380</v>
      </c>
      <c r="D14" s="83">
        <v>400</v>
      </c>
      <c r="E14" s="83"/>
      <c r="F14" s="83">
        <v>200</v>
      </c>
      <c r="G14" s="83"/>
      <c r="H14" s="83"/>
      <c r="I14" s="83">
        <v>200</v>
      </c>
      <c r="J14" s="83"/>
      <c r="K14" s="171"/>
      <c r="L14" s="119">
        <f t="shared" si="0"/>
        <v>0</v>
      </c>
    </row>
    <row r="15" spans="1:12" ht="16" x14ac:dyDescent="0.2">
      <c r="A15" s="170">
        <v>13</v>
      </c>
      <c r="B15" s="84" t="s">
        <v>750</v>
      </c>
      <c r="C15" s="84">
        <v>262381</v>
      </c>
      <c r="D15" s="83">
        <v>300</v>
      </c>
      <c r="E15" s="83"/>
      <c r="F15" s="83"/>
      <c r="G15" s="83"/>
      <c r="H15" s="83">
        <v>300</v>
      </c>
      <c r="I15" s="83"/>
      <c r="J15" s="83"/>
      <c r="K15" s="171"/>
      <c r="L15" s="119">
        <f t="shared" si="0"/>
        <v>0</v>
      </c>
    </row>
    <row r="16" spans="1:12" ht="16" x14ac:dyDescent="0.2">
      <c r="A16" s="170">
        <v>14</v>
      </c>
      <c r="B16" s="84" t="s">
        <v>751</v>
      </c>
      <c r="C16" s="84">
        <v>262382</v>
      </c>
      <c r="D16" s="83">
        <v>10000</v>
      </c>
      <c r="E16" s="83"/>
      <c r="F16" s="83"/>
      <c r="G16" s="83"/>
      <c r="H16" s="83">
        <v>10000</v>
      </c>
      <c r="I16" s="83"/>
      <c r="J16" s="83"/>
      <c r="K16" s="171"/>
      <c r="L16" s="119">
        <f t="shared" si="0"/>
        <v>0</v>
      </c>
    </row>
    <row r="17" spans="1:12" ht="16" x14ac:dyDescent="0.2">
      <c r="A17" s="170">
        <v>15</v>
      </c>
      <c r="B17" s="84" t="s">
        <v>752</v>
      </c>
      <c r="C17" s="84">
        <v>262383</v>
      </c>
      <c r="D17" s="83">
        <v>50</v>
      </c>
      <c r="E17" s="83"/>
      <c r="F17" s="83"/>
      <c r="G17" s="83"/>
      <c r="H17" s="83"/>
      <c r="I17" s="83">
        <v>50</v>
      </c>
      <c r="J17" s="83"/>
      <c r="K17" s="171"/>
      <c r="L17" s="119">
        <f t="shared" si="0"/>
        <v>0</v>
      </c>
    </row>
    <row r="18" spans="1:12" ht="16" x14ac:dyDescent="0.2">
      <c r="A18" s="170">
        <v>16</v>
      </c>
      <c r="B18" s="84" t="s">
        <v>753</v>
      </c>
      <c r="C18" s="84">
        <v>262384</v>
      </c>
      <c r="D18" s="83">
        <v>10500</v>
      </c>
      <c r="E18" s="83">
        <v>10500</v>
      </c>
      <c r="F18" s="83"/>
      <c r="G18" s="83"/>
      <c r="H18" s="83"/>
      <c r="I18" s="83"/>
      <c r="J18" s="83"/>
      <c r="K18" s="171"/>
      <c r="L18" s="119">
        <f t="shared" si="0"/>
        <v>0</v>
      </c>
    </row>
    <row r="19" spans="1:12" ht="16" x14ac:dyDescent="0.2">
      <c r="A19" s="170">
        <v>17</v>
      </c>
      <c r="B19" s="84" t="s">
        <v>405</v>
      </c>
      <c r="C19" s="84">
        <v>262385</v>
      </c>
      <c r="D19" s="83">
        <v>500</v>
      </c>
      <c r="E19" s="83">
        <v>500</v>
      </c>
      <c r="F19" s="83"/>
      <c r="G19" s="83"/>
      <c r="H19" s="83"/>
      <c r="I19" s="83"/>
      <c r="J19" s="83"/>
      <c r="K19" s="171"/>
      <c r="L19" s="119">
        <f t="shared" si="0"/>
        <v>0</v>
      </c>
    </row>
    <row r="20" spans="1:12" ht="16" x14ac:dyDescent="0.2">
      <c r="A20" s="170">
        <v>18</v>
      </c>
      <c r="B20" s="84" t="s">
        <v>754</v>
      </c>
      <c r="C20" s="84">
        <v>262386</v>
      </c>
      <c r="D20" s="83">
        <v>100</v>
      </c>
      <c r="E20" s="83"/>
      <c r="F20" s="83"/>
      <c r="G20" s="83"/>
      <c r="H20" s="83">
        <v>100</v>
      </c>
      <c r="I20" s="83"/>
      <c r="J20" s="83"/>
      <c r="K20" s="171"/>
      <c r="L20" s="119">
        <f t="shared" si="0"/>
        <v>0</v>
      </c>
    </row>
    <row r="21" spans="1:12" ht="16" x14ac:dyDescent="0.2">
      <c r="A21" s="170">
        <v>19</v>
      </c>
      <c r="B21" s="84" t="s">
        <v>755</v>
      </c>
      <c r="C21" s="84">
        <v>262387</v>
      </c>
      <c r="D21" s="83">
        <v>2060</v>
      </c>
      <c r="E21" s="83"/>
      <c r="F21" s="83"/>
      <c r="G21" s="83"/>
      <c r="H21" s="83">
        <v>2060</v>
      </c>
      <c r="I21" s="83"/>
      <c r="J21" s="83"/>
      <c r="K21" s="171"/>
      <c r="L21" s="119">
        <f t="shared" si="0"/>
        <v>0</v>
      </c>
    </row>
    <row r="22" spans="1:12" ht="16" x14ac:dyDescent="0.2">
      <c r="A22" s="170">
        <v>20</v>
      </c>
      <c r="B22" s="84" t="s">
        <v>622</v>
      </c>
      <c r="C22" s="84">
        <v>262388</v>
      </c>
      <c r="D22" s="83">
        <v>200</v>
      </c>
      <c r="E22" s="83"/>
      <c r="F22" s="83">
        <v>200</v>
      </c>
      <c r="G22" s="83"/>
      <c r="H22" s="83"/>
      <c r="I22" s="83"/>
      <c r="J22" s="83"/>
      <c r="K22" s="171"/>
      <c r="L22" s="119">
        <f t="shared" si="0"/>
        <v>0</v>
      </c>
    </row>
    <row r="23" spans="1:12" ht="16" x14ac:dyDescent="0.2">
      <c r="A23" s="170">
        <v>21</v>
      </c>
      <c r="B23" s="84" t="s">
        <v>756</v>
      </c>
      <c r="C23" s="84">
        <v>262389</v>
      </c>
      <c r="D23" s="83">
        <v>3250</v>
      </c>
      <c r="E23" s="83"/>
      <c r="F23" s="83"/>
      <c r="G23" s="83"/>
      <c r="H23" s="83">
        <v>3250</v>
      </c>
      <c r="I23" s="83"/>
      <c r="J23" s="83"/>
      <c r="K23" s="171"/>
      <c r="L23" s="119">
        <f t="shared" si="0"/>
        <v>0</v>
      </c>
    </row>
    <row r="24" spans="1:12" ht="16" x14ac:dyDescent="0.2">
      <c r="A24" s="170">
        <v>22</v>
      </c>
      <c r="B24" s="84" t="s">
        <v>722</v>
      </c>
      <c r="C24" s="84">
        <v>262390</v>
      </c>
      <c r="D24" s="83">
        <v>200</v>
      </c>
      <c r="E24" s="83">
        <v>200</v>
      </c>
      <c r="F24" s="83"/>
      <c r="G24" s="83"/>
      <c r="H24" s="83"/>
      <c r="I24" s="83"/>
      <c r="J24" s="83"/>
      <c r="K24" s="171"/>
      <c r="L24" s="119">
        <f t="shared" si="0"/>
        <v>0</v>
      </c>
    </row>
    <row r="25" spans="1:12" ht="16" x14ac:dyDescent="0.2">
      <c r="A25" s="170">
        <v>23</v>
      </c>
      <c r="B25" s="84" t="s">
        <v>757</v>
      </c>
      <c r="C25" s="84">
        <v>262391</v>
      </c>
      <c r="D25" s="83">
        <v>23000</v>
      </c>
      <c r="E25" s="83">
        <v>22000</v>
      </c>
      <c r="F25" s="83"/>
      <c r="G25" s="83"/>
      <c r="H25" s="83"/>
      <c r="I25" s="83">
        <v>1000</v>
      </c>
      <c r="J25" s="83"/>
      <c r="K25" s="171"/>
      <c r="L25" s="119">
        <f t="shared" si="0"/>
        <v>0</v>
      </c>
    </row>
    <row r="26" spans="1:12" ht="16" x14ac:dyDescent="0.2">
      <c r="A26" s="170">
        <v>24</v>
      </c>
      <c r="B26" s="84" t="s">
        <v>758</v>
      </c>
      <c r="C26" s="84">
        <v>262392</v>
      </c>
      <c r="D26" s="83">
        <v>3000</v>
      </c>
      <c r="E26" s="83"/>
      <c r="F26" s="83">
        <v>2000</v>
      </c>
      <c r="G26" s="83"/>
      <c r="H26" s="83"/>
      <c r="I26" s="83"/>
      <c r="J26" s="83">
        <v>1000</v>
      </c>
      <c r="K26" s="171"/>
      <c r="L26" s="119">
        <f t="shared" si="0"/>
        <v>0</v>
      </c>
    </row>
    <row r="27" spans="1:12" ht="16" x14ac:dyDescent="0.2">
      <c r="A27" s="170">
        <v>25</v>
      </c>
      <c r="B27" s="84" t="s">
        <v>759</v>
      </c>
      <c r="C27" s="84">
        <v>262393</v>
      </c>
      <c r="D27" s="83">
        <v>34100</v>
      </c>
      <c r="E27" s="83">
        <v>34100</v>
      </c>
      <c r="F27" s="83"/>
      <c r="G27" s="83"/>
      <c r="H27" s="83"/>
      <c r="I27" s="83"/>
      <c r="J27" s="83"/>
      <c r="K27" s="171"/>
      <c r="L27" s="119">
        <f t="shared" si="0"/>
        <v>0</v>
      </c>
    </row>
    <row r="28" spans="1:12" ht="16" x14ac:dyDescent="0.2">
      <c r="A28" s="170">
        <v>26</v>
      </c>
      <c r="B28" s="84" t="s">
        <v>760</v>
      </c>
      <c r="C28" s="84">
        <v>262394</v>
      </c>
      <c r="D28" s="83">
        <v>700</v>
      </c>
      <c r="E28" s="83"/>
      <c r="F28" s="83"/>
      <c r="G28" s="83"/>
      <c r="H28" s="83"/>
      <c r="I28" s="83">
        <v>500</v>
      </c>
      <c r="J28" s="83">
        <v>200</v>
      </c>
      <c r="K28" s="171"/>
      <c r="L28" s="119">
        <f t="shared" si="0"/>
        <v>0</v>
      </c>
    </row>
    <row r="29" spans="1:12" ht="16" x14ac:dyDescent="0.2">
      <c r="A29" s="170">
        <v>27</v>
      </c>
      <c r="B29" s="84" t="s">
        <v>761</v>
      </c>
      <c r="C29" s="84">
        <v>262395</v>
      </c>
      <c r="D29" s="83">
        <v>150</v>
      </c>
      <c r="E29" s="83">
        <v>150</v>
      </c>
      <c r="F29" s="83"/>
      <c r="G29" s="83"/>
      <c r="H29" s="83"/>
      <c r="I29" s="83"/>
      <c r="J29" s="83"/>
      <c r="K29" s="171"/>
      <c r="L29" s="119">
        <f t="shared" si="0"/>
        <v>0</v>
      </c>
    </row>
    <row r="30" spans="1:12" ht="16" x14ac:dyDescent="0.2">
      <c r="A30" s="170">
        <v>28</v>
      </c>
      <c r="B30" s="84" t="s">
        <v>762</v>
      </c>
      <c r="C30" s="84">
        <v>262396</v>
      </c>
      <c r="D30" s="83">
        <v>1000</v>
      </c>
      <c r="E30" s="83">
        <v>1000</v>
      </c>
      <c r="F30" s="83"/>
      <c r="G30" s="83"/>
      <c r="H30" s="83"/>
      <c r="I30" s="83"/>
      <c r="J30" s="83"/>
      <c r="K30" s="171"/>
      <c r="L30" s="119">
        <f t="shared" si="0"/>
        <v>0</v>
      </c>
    </row>
    <row r="31" spans="1:12" ht="16" x14ac:dyDescent="0.2">
      <c r="A31" s="170">
        <v>29</v>
      </c>
      <c r="B31" s="84" t="s">
        <v>434</v>
      </c>
      <c r="C31" s="84">
        <v>262397</v>
      </c>
      <c r="D31" s="83">
        <v>500</v>
      </c>
      <c r="E31" s="83"/>
      <c r="F31" s="83"/>
      <c r="G31" s="83"/>
      <c r="H31" s="83"/>
      <c r="I31" s="83">
        <v>500</v>
      </c>
      <c r="J31" s="83"/>
      <c r="K31" s="171"/>
      <c r="L31" s="119">
        <f t="shared" si="0"/>
        <v>0</v>
      </c>
    </row>
    <row r="32" spans="1:12" ht="16" x14ac:dyDescent="0.2">
      <c r="A32" s="170">
        <v>30</v>
      </c>
      <c r="B32" s="84" t="s">
        <v>763</v>
      </c>
      <c r="C32" s="84">
        <v>262398</v>
      </c>
      <c r="D32" s="83">
        <v>50</v>
      </c>
      <c r="E32" s="83">
        <v>50</v>
      </c>
      <c r="F32" s="83"/>
      <c r="G32" s="83"/>
      <c r="H32" s="83"/>
      <c r="I32" s="83"/>
      <c r="J32" s="83"/>
      <c r="K32" s="171"/>
      <c r="L32" s="119">
        <f t="shared" si="0"/>
        <v>0</v>
      </c>
    </row>
    <row r="33" spans="1:12" ht="16" x14ac:dyDescent="0.2">
      <c r="A33" s="170">
        <v>31</v>
      </c>
      <c r="B33" s="84" t="s">
        <v>532</v>
      </c>
      <c r="C33" s="84">
        <v>262399</v>
      </c>
      <c r="D33" s="83">
        <v>1350</v>
      </c>
      <c r="E33" s="83">
        <v>1350</v>
      </c>
      <c r="F33" s="83"/>
      <c r="G33" s="83"/>
      <c r="H33" s="83"/>
      <c r="I33" s="83"/>
      <c r="J33" s="83"/>
      <c r="K33" s="171"/>
      <c r="L33" s="119">
        <f t="shared" si="0"/>
        <v>0</v>
      </c>
    </row>
    <row r="34" spans="1:12" ht="16" x14ac:dyDescent="0.2">
      <c r="A34" s="170">
        <v>32</v>
      </c>
      <c r="B34" s="84" t="s">
        <v>764</v>
      </c>
      <c r="C34" s="84">
        <v>262400</v>
      </c>
      <c r="D34" s="83">
        <v>150</v>
      </c>
      <c r="E34" s="83">
        <v>150</v>
      </c>
      <c r="F34" s="83"/>
      <c r="G34" s="83"/>
      <c r="H34" s="83"/>
      <c r="I34" s="83"/>
      <c r="J34" s="83"/>
      <c r="K34" s="171"/>
      <c r="L34" s="119">
        <f t="shared" si="0"/>
        <v>0</v>
      </c>
    </row>
    <row r="35" spans="1:12" ht="16" x14ac:dyDescent="0.2">
      <c r="A35" s="170">
        <v>33</v>
      </c>
      <c r="B35" s="84" t="s">
        <v>765</v>
      </c>
      <c r="C35" s="84">
        <v>322108</v>
      </c>
      <c r="D35" s="83">
        <v>200</v>
      </c>
      <c r="E35" s="83"/>
      <c r="F35" s="83"/>
      <c r="G35" s="83"/>
      <c r="H35" s="83">
        <v>200</v>
      </c>
      <c r="I35" s="83"/>
      <c r="J35" s="83"/>
      <c r="K35" s="171"/>
      <c r="L35" s="119">
        <f t="shared" ref="L35:L66" si="1">SUM(E35:K35)-D35</f>
        <v>0</v>
      </c>
    </row>
    <row r="36" spans="1:12" ht="16" x14ac:dyDescent="0.2">
      <c r="A36" s="170">
        <v>34</v>
      </c>
      <c r="B36" s="84" t="s">
        <v>766</v>
      </c>
      <c r="C36" s="84">
        <v>322109</v>
      </c>
      <c r="D36" s="83">
        <v>200</v>
      </c>
      <c r="E36" s="83"/>
      <c r="F36" s="83"/>
      <c r="G36" s="83"/>
      <c r="H36" s="83">
        <v>200</v>
      </c>
      <c r="I36" s="83"/>
      <c r="J36" s="83"/>
      <c r="K36" s="171"/>
      <c r="L36" s="119">
        <f t="shared" si="1"/>
        <v>0</v>
      </c>
    </row>
    <row r="37" spans="1:12" ht="16" x14ac:dyDescent="0.2">
      <c r="A37" s="170">
        <v>35</v>
      </c>
      <c r="B37" s="84" t="s">
        <v>767</v>
      </c>
      <c r="C37" s="84">
        <v>322110</v>
      </c>
      <c r="D37" s="83">
        <v>200</v>
      </c>
      <c r="E37" s="83"/>
      <c r="F37" s="83"/>
      <c r="G37" s="83"/>
      <c r="H37" s="83">
        <v>200</v>
      </c>
      <c r="I37" s="83"/>
      <c r="J37" s="83"/>
      <c r="K37" s="171"/>
      <c r="L37" s="119">
        <f t="shared" si="1"/>
        <v>0</v>
      </c>
    </row>
    <row r="38" spans="1:12" ht="16" x14ac:dyDescent="0.2">
      <c r="A38" s="170">
        <v>36</v>
      </c>
      <c r="B38" s="84" t="s">
        <v>768</v>
      </c>
      <c r="C38" s="84">
        <v>322111</v>
      </c>
      <c r="D38" s="83">
        <v>500</v>
      </c>
      <c r="E38" s="83"/>
      <c r="F38" s="83"/>
      <c r="G38" s="83"/>
      <c r="H38" s="83">
        <v>500</v>
      </c>
      <c r="I38" s="83"/>
      <c r="J38" s="83"/>
      <c r="K38" s="171"/>
      <c r="L38" s="119">
        <f t="shared" si="1"/>
        <v>0</v>
      </c>
    </row>
    <row r="39" spans="1:12" ht="16" x14ac:dyDescent="0.2">
      <c r="A39" s="170">
        <v>37</v>
      </c>
      <c r="B39" s="84" t="s">
        <v>769</v>
      </c>
      <c r="C39" s="84">
        <v>322112</v>
      </c>
      <c r="D39" s="83">
        <v>845</v>
      </c>
      <c r="E39" s="83"/>
      <c r="F39" s="83"/>
      <c r="G39" s="83"/>
      <c r="H39" s="83">
        <v>845</v>
      </c>
      <c r="I39" s="83"/>
      <c r="J39" s="83"/>
      <c r="K39" s="171"/>
      <c r="L39" s="119">
        <f t="shared" si="1"/>
        <v>0</v>
      </c>
    </row>
    <row r="40" spans="1:12" ht="16" x14ac:dyDescent="0.2">
      <c r="A40" s="170">
        <v>38</v>
      </c>
      <c r="B40" s="84" t="s">
        <v>770</v>
      </c>
      <c r="C40" s="84">
        <v>322113</v>
      </c>
      <c r="D40" s="83">
        <v>6000</v>
      </c>
      <c r="E40" s="83">
        <v>5000</v>
      </c>
      <c r="F40" s="83"/>
      <c r="G40" s="83"/>
      <c r="H40" s="83">
        <v>1000</v>
      </c>
      <c r="I40" s="83"/>
      <c r="J40" s="83"/>
      <c r="K40" s="171"/>
      <c r="L40" s="119">
        <f t="shared" si="1"/>
        <v>0</v>
      </c>
    </row>
    <row r="41" spans="1:12" ht="16" x14ac:dyDescent="0.2">
      <c r="A41" s="170">
        <v>39</v>
      </c>
      <c r="B41" s="84" t="s">
        <v>692</v>
      </c>
      <c r="C41" s="84">
        <v>322114</v>
      </c>
      <c r="D41" s="83">
        <v>6500</v>
      </c>
      <c r="E41" s="83">
        <v>5890</v>
      </c>
      <c r="F41" s="83"/>
      <c r="G41" s="83">
        <v>210</v>
      </c>
      <c r="H41" s="83"/>
      <c r="I41" s="83">
        <v>400</v>
      </c>
      <c r="J41" s="83"/>
      <c r="K41" s="171"/>
      <c r="L41" s="119">
        <f t="shared" si="1"/>
        <v>0</v>
      </c>
    </row>
    <row r="42" spans="1:12" ht="16" x14ac:dyDescent="0.2">
      <c r="A42" s="170">
        <v>40</v>
      </c>
      <c r="B42" s="84" t="s">
        <v>771</v>
      </c>
      <c r="C42" s="84">
        <v>322115</v>
      </c>
      <c r="D42" s="83">
        <v>1000</v>
      </c>
      <c r="E42" s="83">
        <v>1000</v>
      </c>
      <c r="F42" s="83"/>
      <c r="G42" s="83"/>
      <c r="H42" s="83"/>
      <c r="I42" s="83"/>
      <c r="J42" s="83"/>
      <c r="K42" s="171"/>
      <c r="L42" s="119">
        <f t="shared" si="1"/>
        <v>0</v>
      </c>
    </row>
    <row r="43" spans="1:12" ht="16" x14ac:dyDescent="0.2">
      <c r="A43" s="170">
        <v>41</v>
      </c>
      <c r="B43" s="84" t="s">
        <v>772</v>
      </c>
      <c r="C43" s="84">
        <v>322116</v>
      </c>
      <c r="D43" s="83">
        <v>300</v>
      </c>
      <c r="E43" s="83">
        <v>300</v>
      </c>
      <c r="F43" s="83"/>
      <c r="G43" s="83"/>
      <c r="H43" s="83"/>
      <c r="I43" s="83"/>
      <c r="J43" s="83"/>
      <c r="K43" s="171"/>
      <c r="L43" s="119">
        <f t="shared" si="1"/>
        <v>0</v>
      </c>
    </row>
    <row r="44" spans="1:12" ht="16" x14ac:dyDescent="0.2">
      <c r="A44" s="170">
        <v>42</v>
      </c>
      <c r="B44" s="84" t="s">
        <v>507</v>
      </c>
      <c r="C44" s="84">
        <v>322117</v>
      </c>
      <c r="D44" s="83">
        <v>200</v>
      </c>
      <c r="E44" s="83"/>
      <c r="F44" s="83"/>
      <c r="G44" s="83"/>
      <c r="H44" s="83"/>
      <c r="I44" s="83">
        <v>200</v>
      </c>
      <c r="J44" s="83"/>
      <c r="K44" s="171"/>
      <c r="L44" s="119">
        <f t="shared" si="1"/>
        <v>0</v>
      </c>
    </row>
    <row r="45" spans="1:12" ht="16" x14ac:dyDescent="0.2">
      <c r="A45" s="170">
        <v>43</v>
      </c>
      <c r="B45" s="84" t="s">
        <v>773</v>
      </c>
      <c r="C45" s="84">
        <v>322118</v>
      </c>
      <c r="D45" s="83">
        <v>500</v>
      </c>
      <c r="E45" s="83">
        <v>300</v>
      </c>
      <c r="F45" s="83"/>
      <c r="G45" s="83"/>
      <c r="H45" s="83"/>
      <c r="I45" s="83">
        <v>200</v>
      </c>
      <c r="J45" s="83"/>
      <c r="K45" s="171"/>
      <c r="L45" s="119">
        <f t="shared" si="1"/>
        <v>0</v>
      </c>
    </row>
    <row r="46" spans="1:12" ht="16" x14ac:dyDescent="0.2">
      <c r="A46" s="170">
        <v>44</v>
      </c>
      <c r="B46" s="84" t="s">
        <v>610</v>
      </c>
      <c r="C46" s="84">
        <v>322119</v>
      </c>
      <c r="D46" s="83">
        <v>200</v>
      </c>
      <c r="E46" s="83">
        <v>200</v>
      </c>
      <c r="F46" s="83"/>
      <c r="G46" s="83"/>
      <c r="H46" s="83"/>
      <c r="I46" s="83"/>
      <c r="J46" s="83"/>
      <c r="K46" s="171"/>
      <c r="L46" s="119">
        <f t="shared" si="1"/>
        <v>0</v>
      </c>
    </row>
    <row r="47" spans="1:12" ht="16" x14ac:dyDescent="0.2">
      <c r="A47" s="170">
        <v>45</v>
      </c>
      <c r="B47" s="84" t="s">
        <v>774</v>
      </c>
      <c r="C47" s="84">
        <v>322120</v>
      </c>
      <c r="D47" s="83">
        <v>200</v>
      </c>
      <c r="E47" s="83">
        <v>200</v>
      </c>
      <c r="F47" s="83"/>
      <c r="G47" s="83"/>
      <c r="H47" s="83"/>
      <c r="I47" s="83"/>
      <c r="J47" s="83"/>
      <c r="K47" s="171"/>
      <c r="L47" s="119">
        <f t="shared" si="1"/>
        <v>0</v>
      </c>
    </row>
    <row r="48" spans="1:12" ht="16" x14ac:dyDescent="0.2">
      <c r="A48" s="170">
        <v>46</v>
      </c>
      <c r="B48" s="84" t="s">
        <v>414</v>
      </c>
      <c r="C48" s="84">
        <v>322121</v>
      </c>
      <c r="D48" s="83">
        <v>5000</v>
      </c>
      <c r="E48" s="83">
        <v>5000</v>
      </c>
      <c r="F48" s="83"/>
      <c r="G48" s="83"/>
      <c r="H48" s="83"/>
      <c r="I48" s="83"/>
      <c r="J48" s="83"/>
      <c r="K48" s="171"/>
      <c r="L48" s="119">
        <f t="shared" si="1"/>
        <v>0</v>
      </c>
    </row>
    <row r="49" spans="1:12" ht="16" x14ac:dyDescent="0.2">
      <c r="A49" s="170">
        <v>47</v>
      </c>
      <c r="B49" s="84" t="s">
        <v>775</v>
      </c>
      <c r="C49" s="84">
        <v>322122</v>
      </c>
      <c r="D49" s="83">
        <v>50</v>
      </c>
      <c r="E49" s="83"/>
      <c r="F49" s="83"/>
      <c r="G49" s="83"/>
      <c r="H49" s="83"/>
      <c r="I49" s="83">
        <v>50</v>
      </c>
      <c r="J49" s="83"/>
      <c r="K49" s="171"/>
      <c r="L49" s="119">
        <f t="shared" si="1"/>
        <v>0</v>
      </c>
    </row>
    <row r="50" spans="1:12" ht="16" x14ac:dyDescent="0.2">
      <c r="A50" s="170">
        <v>48</v>
      </c>
      <c r="B50" s="84" t="s">
        <v>620</v>
      </c>
      <c r="C50" s="84">
        <v>322123</v>
      </c>
      <c r="D50" s="83">
        <v>50</v>
      </c>
      <c r="E50" s="83"/>
      <c r="F50" s="83"/>
      <c r="G50" s="83"/>
      <c r="H50" s="83"/>
      <c r="I50" s="83">
        <v>50</v>
      </c>
      <c r="J50" s="83"/>
      <c r="K50" s="171"/>
      <c r="L50" s="119">
        <f t="shared" si="1"/>
        <v>0</v>
      </c>
    </row>
    <row r="51" spans="1:12" ht="16" x14ac:dyDescent="0.2">
      <c r="A51" s="170">
        <v>49</v>
      </c>
      <c r="B51" s="84" t="s">
        <v>776</v>
      </c>
      <c r="C51" s="84">
        <v>322124</v>
      </c>
      <c r="D51" s="83">
        <v>50</v>
      </c>
      <c r="E51" s="83"/>
      <c r="F51" s="83">
        <v>50</v>
      </c>
      <c r="G51" s="83"/>
      <c r="H51" s="83"/>
      <c r="I51" s="83"/>
      <c r="J51" s="83"/>
      <c r="K51" s="171"/>
      <c r="L51" s="119">
        <f t="shared" si="1"/>
        <v>0</v>
      </c>
    </row>
    <row r="52" spans="1:12" ht="16" x14ac:dyDescent="0.2">
      <c r="A52" s="170">
        <v>50</v>
      </c>
      <c r="B52" s="84" t="s">
        <v>419</v>
      </c>
      <c r="C52" s="84">
        <v>322125</v>
      </c>
      <c r="D52" s="83">
        <v>100</v>
      </c>
      <c r="E52" s="83"/>
      <c r="F52" s="83">
        <v>100</v>
      </c>
      <c r="G52" s="83"/>
      <c r="H52" s="83"/>
      <c r="I52" s="83"/>
      <c r="J52" s="83"/>
      <c r="K52" s="171"/>
      <c r="L52" s="119">
        <f t="shared" si="1"/>
        <v>0</v>
      </c>
    </row>
    <row r="53" spans="1:12" ht="16" x14ac:dyDescent="0.2">
      <c r="A53" s="170">
        <v>51</v>
      </c>
      <c r="B53" s="84" t="s">
        <v>777</v>
      </c>
      <c r="C53" s="84">
        <v>322126</v>
      </c>
      <c r="D53" s="83">
        <v>50</v>
      </c>
      <c r="E53" s="83"/>
      <c r="F53" s="83"/>
      <c r="G53" s="83"/>
      <c r="H53" s="83">
        <v>50</v>
      </c>
      <c r="I53" s="83"/>
      <c r="J53" s="83"/>
      <c r="K53" s="171"/>
      <c r="L53" s="119">
        <f t="shared" si="1"/>
        <v>0</v>
      </c>
    </row>
    <row r="54" spans="1:12" ht="16" x14ac:dyDescent="0.2">
      <c r="A54" s="170">
        <v>52</v>
      </c>
      <c r="B54" s="84" t="s">
        <v>778</v>
      </c>
      <c r="C54" s="84">
        <v>322127</v>
      </c>
      <c r="D54" s="83">
        <v>10</v>
      </c>
      <c r="E54" s="83"/>
      <c r="F54" s="83"/>
      <c r="G54" s="83"/>
      <c r="H54" s="83">
        <v>10</v>
      </c>
      <c r="I54" s="83"/>
      <c r="J54" s="83"/>
      <c r="K54" s="171"/>
      <c r="L54" s="119">
        <f t="shared" si="1"/>
        <v>0</v>
      </c>
    </row>
    <row r="55" spans="1:12" ht="16" x14ac:dyDescent="0.2">
      <c r="A55" s="170">
        <v>53</v>
      </c>
      <c r="B55" s="84" t="s">
        <v>779</v>
      </c>
      <c r="C55" s="84">
        <v>322128</v>
      </c>
      <c r="D55" s="83">
        <v>300</v>
      </c>
      <c r="E55" s="83"/>
      <c r="F55" s="83"/>
      <c r="G55" s="83"/>
      <c r="H55" s="83">
        <v>300</v>
      </c>
      <c r="I55" s="83"/>
      <c r="J55" s="83"/>
      <c r="K55" s="171"/>
      <c r="L55" s="119">
        <f t="shared" si="1"/>
        <v>0</v>
      </c>
    </row>
    <row r="56" spans="1:12" ht="16" x14ac:dyDescent="0.2">
      <c r="A56" s="170">
        <v>54</v>
      </c>
      <c r="B56" s="84" t="s">
        <v>635</v>
      </c>
      <c r="C56" s="84">
        <v>322129</v>
      </c>
      <c r="D56" s="83">
        <v>3000</v>
      </c>
      <c r="E56" s="83">
        <v>3000</v>
      </c>
      <c r="F56" s="83"/>
      <c r="G56" s="83"/>
      <c r="H56" s="83"/>
      <c r="I56" s="83"/>
      <c r="J56" s="83"/>
      <c r="K56" s="171"/>
      <c r="L56" s="119">
        <f t="shared" si="1"/>
        <v>0</v>
      </c>
    </row>
    <row r="57" spans="1:12" ht="16" x14ac:dyDescent="0.2">
      <c r="A57" s="170">
        <v>55</v>
      </c>
      <c r="B57" s="84" t="s">
        <v>780</v>
      </c>
      <c r="C57" s="84">
        <v>322130</v>
      </c>
      <c r="D57" s="83">
        <v>100</v>
      </c>
      <c r="E57" s="83"/>
      <c r="F57" s="83"/>
      <c r="G57" s="83"/>
      <c r="H57" s="83"/>
      <c r="I57" s="83">
        <v>100</v>
      </c>
      <c r="J57" s="83"/>
      <c r="K57" s="171"/>
      <c r="L57" s="119">
        <f t="shared" si="1"/>
        <v>0</v>
      </c>
    </row>
    <row r="58" spans="1:12" ht="16" x14ac:dyDescent="0.2">
      <c r="A58" s="170">
        <v>56</v>
      </c>
      <c r="B58" s="84" t="s">
        <v>781</v>
      </c>
      <c r="C58" s="84">
        <v>322131</v>
      </c>
      <c r="D58" s="83">
        <v>300</v>
      </c>
      <c r="E58" s="83"/>
      <c r="F58" s="83">
        <v>100</v>
      </c>
      <c r="G58" s="83">
        <v>100</v>
      </c>
      <c r="H58" s="83"/>
      <c r="I58" s="83">
        <v>100</v>
      </c>
      <c r="J58" s="83"/>
      <c r="K58" s="171"/>
      <c r="L58" s="119">
        <f t="shared" si="1"/>
        <v>0</v>
      </c>
    </row>
    <row r="59" spans="1:12" ht="16" x14ac:dyDescent="0.2">
      <c r="A59" s="170">
        <v>57</v>
      </c>
      <c r="B59" s="84" t="s">
        <v>782</v>
      </c>
      <c r="C59" s="84">
        <v>322132</v>
      </c>
      <c r="D59" s="83">
        <v>10</v>
      </c>
      <c r="E59" s="83"/>
      <c r="F59" s="83"/>
      <c r="G59" s="83"/>
      <c r="H59" s="83">
        <v>10</v>
      </c>
      <c r="I59" s="83"/>
      <c r="J59" s="83"/>
      <c r="K59" s="171"/>
      <c r="L59" s="119">
        <f t="shared" si="1"/>
        <v>0</v>
      </c>
    </row>
    <row r="60" spans="1:12" ht="16" x14ac:dyDescent="0.2">
      <c r="A60" s="170">
        <v>58</v>
      </c>
      <c r="B60" s="84" t="s">
        <v>567</v>
      </c>
      <c r="C60" s="84">
        <v>322133</v>
      </c>
      <c r="D60" s="83">
        <v>1000</v>
      </c>
      <c r="E60" s="83"/>
      <c r="F60" s="83"/>
      <c r="G60" s="83">
        <v>400</v>
      </c>
      <c r="H60" s="83"/>
      <c r="I60" s="83">
        <v>600</v>
      </c>
      <c r="J60" s="83"/>
      <c r="K60" s="171"/>
      <c r="L60" s="119">
        <f t="shared" si="1"/>
        <v>0</v>
      </c>
    </row>
    <row r="61" spans="1:12" ht="16" x14ac:dyDescent="0.2">
      <c r="A61" s="170">
        <v>59</v>
      </c>
      <c r="B61" s="84" t="s">
        <v>533</v>
      </c>
      <c r="C61" s="84">
        <v>322134</v>
      </c>
      <c r="D61" s="83">
        <v>5680</v>
      </c>
      <c r="E61" s="83">
        <v>5180</v>
      </c>
      <c r="F61" s="83">
        <v>500</v>
      </c>
      <c r="G61" s="83"/>
      <c r="H61" s="83"/>
      <c r="I61" s="83"/>
      <c r="J61" s="83"/>
      <c r="K61" s="171"/>
      <c r="L61" s="119">
        <f t="shared" si="1"/>
        <v>0</v>
      </c>
    </row>
    <row r="62" spans="1:12" ht="16" x14ac:dyDescent="0.2">
      <c r="A62" s="170">
        <v>60</v>
      </c>
      <c r="B62" s="84" t="s">
        <v>783</v>
      </c>
      <c r="C62" s="84">
        <v>322135</v>
      </c>
      <c r="D62" s="83">
        <v>200</v>
      </c>
      <c r="E62" s="83"/>
      <c r="F62" s="83">
        <v>200</v>
      </c>
      <c r="G62" s="83"/>
      <c r="H62" s="83"/>
      <c r="I62" s="83"/>
      <c r="J62" s="83"/>
      <c r="K62" s="171"/>
      <c r="L62" s="119">
        <f t="shared" si="1"/>
        <v>0</v>
      </c>
    </row>
    <row r="63" spans="1:12" ht="16" x14ac:dyDescent="0.2">
      <c r="A63" s="170">
        <v>61</v>
      </c>
      <c r="B63" s="84" t="s">
        <v>570</v>
      </c>
      <c r="C63" s="84">
        <v>322136</v>
      </c>
      <c r="D63" s="83">
        <v>5100</v>
      </c>
      <c r="E63" s="83">
        <v>4000</v>
      </c>
      <c r="F63" s="83">
        <v>50</v>
      </c>
      <c r="G63" s="83">
        <v>50</v>
      </c>
      <c r="H63" s="83">
        <v>1000</v>
      </c>
      <c r="I63" s="83"/>
      <c r="J63" s="83"/>
      <c r="K63" s="171"/>
      <c r="L63" s="119">
        <f t="shared" si="1"/>
        <v>0</v>
      </c>
    </row>
    <row r="64" spans="1:12" ht="16" x14ac:dyDescent="0.2">
      <c r="A64" s="170">
        <v>62</v>
      </c>
      <c r="B64" s="84" t="s">
        <v>784</v>
      </c>
      <c r="C64" s="84">
        <v>322137</v>
      </c>
      <c r="D64" s="83">
        <v>100</v>
      </c>
      <c r="E64" s="83"/>
      <c r="F64" s="83">
        <v>100</v>
      </c>
      <c r="G64" s="83"/>
      <c r="H64" s="83"/>
      <c r="I64" s="83"/>
      <c r="J64" s="83"/>
      <c r="K64" s="171"/>
      <c r="L64" s="119">
        <f t="shared" si="1"/>
        <v>0</v>
      </c>
    </row>
    <row r="65" spans="1:12" ht="16" x14ac:dyDescent="0.2">
      <c r="A65" s="170">
        <v>63</v>
      </c>
      <c r="B65" s="84" t="s">
        <v>785</v>
      </c>
      <c r="C65" s="84">
        <v>322138</v>
      </c>
      <c r="D65" s="83">
        <v>100</v>
      </c>
      <c r="E65" s="83"/>
      <c r="F65" s="83">
        <v>100</v>
      </c>
      <c r="G65" s="83"/>
      <c r="H65" s="83"/>
      <c r="I65" s="83"/>
      <c r="J65" s="83"/>
      <c r="K65" s="171"/>
      <c r="L65" s="119">
        <f t="shared" si="1"/>
        <v>0</v>
      </c>
    </row>
    <row r="66" spans="1:12" ht="16" x14ac:dyDescent="0.2">
      <c r="A66" s="170">
        <v>64</v>
      </c>
      <c r="B66" s="84" t="s">
        <v>786</v>
      </c>
      <c r="C66" s="84">
        <v>322139</v>
      </c>
      <c r="D66" s="83">
        <v>13200</v>
      </c>
      <c r="E66" s="83">
        <v>13200</v>
      </c>
      <c r="F66" s="83"/>
      <c r="G66" s="83"/>
      <c r="H66" s="83"/>
      <c r="I66" s="83"/>
      <c r="J66" s="83"/>
      <c r="K66" s="171"/>
      <c r="L66" s="119">
        <f t="shared" si="1"/>
        <v>0</v>
      </c>
    </row>
    <row r="67" spans="1:12" ht="16" x14ac:dyDescent="0.2">
      <c r="A67" s="170">
        <v>65</v>
      </c>
      <c r="B67" s="84" t="s">
        <v>541</v>
      </c>
      <c r="C67" s="84">
        <v>322140</v>
      </c>
      <c r="D67" s="83">
        <v>1000</v>
      </c>
      <c r="E67" s="83">
        <v>1000</v>
      </c>
      <c r="F67" s="83"/>
      <c r="G67" s="83"/>
      <c r="H67" s="83"/>
      <c r="I67" s="83"/>
      <c r="J67" s="83"/>
      <c r="K67" s="171"/>
      <c r="L67" s="119">
        <f t="shared" ref="L67:L98" si="2">SUM(E67:K67)-D67</f>
        <v>0</v>
      </c>
    </row>
    <row r="68" spans="1:12" ht="16" x14ac:dyDescent="0.2">
      <c r="A68" s="170">
        <v>66</v>
      </c>
      <c r="B68" s="84" t="s">
        <v>659</v>
      </c>
      <c r="C68" s="84">
        <v>322141</v>
      </c>
      <c r="D68" s="83">
        <v>100</v>
      </c>
      <c r="E68" s="83"/>
      <c r="F68" s="83">
        <v>100</v>
      </c>
      <c r="G68" s="83"/>
      <c r="H68" s="83"/>
      <c r="I68" s="83"/>
      <c r="J68" s="83"/>
      <c r="K68" s="171"/>
      <c r="L68" s="119">
        <f t="shared" si="2"/>
        <v>0</v>
      </c>
    </row>
    <row r="69" spans="1:12" ht="16" x14ac:dyDescent="0.2">
      <c r="A69" s="170">
        <v>67</v>
      </c>
      <c r="B69" s="84" t="s">
        <v>787</v>
      </c>
      <c r="C69" s="84">
        <v>322142</v>
      </c>
      <c r="D69" s="83">
        <v>300</v>
      </c>
      <c r="E69" s="83"/>
      <c r="F69" s="83"/>
      <c r="G69" s="83"/>
      <c r="H69" s="83"/>
      <c r="I69" s="83">
        <v>300</v>
      </c>
      <c r="J69" s="83"/>
      <c r="K69" s="171"/>
      <c r="L69" s="119">
        <f t="shared" si="2"/>
        <v>0</v>
      </c>
    </row>
    <row r="70" spans="1:12" ht="16" x14ac:dyDescent="0.2">
      <c r="A70" s="170">
        <v>68</v>
      </c>
      <c r="B70" s="84" t="s">
        <v>788</v>
      </c>
      <c r="C70" s="84">
        <v>322143</v>
      </c>
      <c r="D70" s="83">
        <v>100</v>
      </c>
      <c r="E70" s="83"/>
      <c r="F70" s="83">
        <v>100</v>
      </c>
      <c r="G70" s="83"/>
      <c r="H70" s="83"/>
      <c r="I70" s="83"/>
      <c r="J70" s="83"/>
      <c r="K70" s="171"/>
      <c r="L70" s="119">
        <f t="shared" si="2"/>
        <v>0</v>
      </c>
    </row>
    <row r="71" spans="1:12" ht="16" x14ac:dyDescent="0.2">
      <c r="A71" s="170">
        <v>69</v>
      </c>
      <c r="B71" s="84" t="s">
        <v>425</v>
      </c>
      <c r="C71" s="84">
        <v>322144</v>
      </c>
      <c r="D71" s="83">
        <v>1000</v>
      </c>
      <c r="E71" s="83"/>
      <c r="F71" s="83"/>
      <c r="G71" s="83"/>
      <c r="H71" s="83"/>
      <c r="I71" s="83">
        <v>1000</v>
      </c>
      <c r="J71" s="83"/>
      <c r="K71" s="171"/>
      <c r="L71" s="119">
        <f t="shared" si="2"/>
        <v>0</v>
      </c>
    </row>
    <row r="72" spans="1:12" ht="16" x14ac:dyDescent="0.2">
      <c r="A72" s="170">
        <v>70</v>
      </c>
      <c r="B72" s="84" t="s">
        <v>689</v>
      </c>
      <c r="C72" s="84">
        <v>322145</v>
      </c>
      <c r="D72" s="83">
        <v>100</v>
      </c>
      <c r="E72" s="83"/>
      <c r="F72" s="83">
        <v>100</v>
      </c>
      <c r="G72" s="83"/>
      <c r="H72" s="83"/>
      <c r="I72" s="83"/>
      <c r="J72" s="83"/>
      <c r="K72" s="171"/>
      <c r="L72" s="119">
        <f t="shared" si="2"/>
        <v>0</v>
      </c>
    </row>
    <row r="73" spans="1:12" ht="16" x14ac:dyDescent="0.2">
      <c r="A73" s="170">
        <v>71</v>
      </c>
      <c r="B73" s="84" t="s">
        <v>789</v>
      </c>
      <c r="C73" s="84">
        <v>322146</v>
      </c>
      <c r="D73" s="83">
        <v>100</v>
      </c>
      <c r="E73" s="83">
        <v>100</v>
      </c>
      <c r="F73" s="83"/>
      <c r="G73" s="83"/>
      <c r="H73" s="83"/>
      <c r="I73" s="83"/>
      <c r="J73" s="83"/>
      <c r="K73" s="171"/>
      <c r="L73" s="119">
        <f t="shared" si="2"/>
        <v>0</v>
      </c>
    </row>
    <row r="74" spans="1:12" ht="16" x14ac:dyDescent="0.2">
      <c r="A74" s="170">
        <v>72</v>
      </c>
      <c r="B74" s="84" t="s">
        <v>431</v>
      </c>
      <c r="C74" s="84">
        <v>322147</v>
      </c>
      <c r="D74" s="83">
        <v>1006</v>
      </c>
      <c r="E74" s="83">
        <v>1006</v>
      </c>
      <c r="F74" s="83"/>
      <c r="G74" s="83"/>
      <c r="H74" s="83"/>
      <c r="I74" s="83"/>
      <c r="J74" s="83"/>
      <c r="K74" s="171"/>
      <c r="L74" s="119">
        <f t="shared" si="2"/>
        <v>0</v>
      </c>
    </row>
    <row r="75" spans="1:12" ht="16" x14ac:dyDescent="0.2">
      <c r="A75" s="170">
        <v>73</v>
      </c>
      <c r="B75" s="84" t="s">
        <v>790</v>
      </c>
      <c r="C75" s="84">
        <v>322148</v>
      </c>
      <c r="D75" s="83">
        <v>100</v>
      </c>
      <c r="E75" s="83"/>
      <c r="F75" s="83"/>
      <c r="G75" s="83"/>
      <c r="H75" s="83"/>
      <c r="I75" s="83"/>
      <c r="J75" s="83"/>
      <c r="K75" s="171">
        <v>100</v>
      </c>
      <c r="L75" s="119">
        <f t="shared" si="2"/>
        <v>0</v>
      </c>
    </row>
    <row r="76" spans="1:12" ht="16" x14ac:dyDescent="0.2">
      <c r="A76" s="170">
        <v>74</v>
      </c>
      <c r="B76" s="84" t="s">
        <v>791</v>
      </c>
      <c r="C76" s="84">
        <v>322149</v>
      </c>
      <c r="D76" s="83">
        <v>1000</v>
      </c>
      <c r="E76" s="83">
        <v>1000</v>
      </c>
      <c r="F76" s="83"/>
      <c r="G76" s="83"/>
      <c r="H76" s="83"/>
      <c r="I76" s="83"/>
      <c r="J76" s="83"/>
      <c r="K76" s="171"/>
      <c r="L76" s="119">
        <f t="shared" si="2"/>
        <v>0</v>
      </c>
    </row>
    <row r="77" spans="1:12" ht="16" x14ac:dyDescent="0.2">
      <c r="A77" s="170">
        <v>75</v>
      </c>
      <c r="B77" s="84" t="s">
        <v>525</v>
      </c>
      <c r="C77" s="84">
        <v>322150</v>
      </c>
      <c r="D77" s="83">
        <v>1250</v>
      </c>
      <c r="E77" s="83">
        <v>1250</v>
      </c>
      <c r="F77" s="83"/>
      <c r="G77" s="83"/>
      <c r="H77" s="83"/>
      <c r="I77" s="83"/>
      <c r="J77" s="83"/>
      <c r="K77" s="171"/>
      <c r="L77" s="119">
        <f t="shared" si="2"/>
        <v>0</v>
      </c>
    </row>
    <row r="78" spans="1:12" ht="16" x14ac:dyDescent="0.2">
      <c r="A78" s="170">
        <v>76</v>
      </c>
      <c r="B78" s="84" t="s">
        <v>648</v>
      </c>
      <c r="C78" s="84">
        <v>322151</v>
      </c>
      <c r="D78" s="83">
        <v>30</v>
      </c>
      <c r="E78" s="83">
        <v>30</v>
      </c>
      <c r="F78" s="83"/>
      <c r="G78" s="83"/>
      <c r="H78" s="83"/>
      <c r="I78" s="83"/>
      <c r="J78" s="83"/>
      <c r="K78" s="171"/>
      <c r="L78" s="119">
        <f t="shared" si="2"/>
        <v>0</v>
      </c>
    </row>
    <row r="79" spans="1:12" ht="16" x14ac:dyDescent="0.2">
      <c r="A79" s="170">
        <v>77</v>
      </c>
      <c r="B79" s="84" t="s">
        <v>649</v>
      </c>
      <c r="C79" s="84">
        <v>322152</v>
      </c>
      <c r="D79" s="83">
        <v>100</v>
      </c>
      <c r="E79" s="83"/>
      <c r="F79" s="83">
        <v>100</v>
      </c>
      <c r="G79" s="83"/>
      <c r="H79" s="83"/>
      <c r="I79" s="83"/>
      <c r="J79" s="83"/>
      <c r="K79" s="171"/>
      <c r="L79" s="119">
        <f t="shared" si="2"/>
        <v>0</v>
      </c>
    </row>
    <row r="80" spans="1:12" ht="16" x14ac:dyDescent="0.2">
      <c r="A80" s="170">
        <v>78</v>
      </c>
      <c r="B80" s="84" t="s">
        <v>792</v>
      </c>
      <c r="C80" s="84">
        <v>322153</v>
      </c>
      <c r="D80" s="83">
        <v>100</v>
      </c>
      <c r="E80" s="83">
        <v>100</v>
      </c>
      <c r="F80" s="83"/>
      <c r="G80" s="83"/>
      <c r="H80" s="83"/>
      <c r="I80" s="83"/>
      <c r="J80" s="83"/>
      <c r="K80" s="171"/>
      <c r="L80" s="119">
        <f t="shared" si="2"/>
        <v>0</v>
      </c>
    </row>
    <row r="81" spans="1:12" ht="16" x14ac:dyDescent="0.2">
      <c r="A81" s="170">
        <v>79</v>
      </c>
      <c r="B81" s="84" t="s">
        <v>521</v>
      </c>
      <c r="C81" s="84">
        <v>322154</v>
      </c>
      <c r="D81" s="83">
        <v>200</v>
      </c>
      <c r="E81" s="83"/>
      <c r="F81" s="83">
        <v>200</v>
      </c>
      <c r="G81" s="83"/>
      <c r="H81" s="83"/>
      <c r="I81" s="83"/>
      <c r="J81" s="83"/>
      <c r="K81" s="171"/>
      <c r="L81" s="119">
        <f t="shared" si="2"/>
        <v>0</v>
      </c>
    </row>
    <row r="82" spans="1:12" ht="16" x14ac:dyDescent="0.2">
      <c r="A82" s="170">
        <v>80</v>
      </c>
      <c r="B82" s="84" t="s">
        <v>555</v>
      </c>
      <c r="C82" s="84">
        <v>322155</v>
      </c>
      <c r="D82" s="83">
        <v>300</v>
      </c>
      <c r="E82" s="83"/>
      <c r="F82" s="83"/>
      <c r="G82" s="83"/>
      <c r="H82" s="83"/>
      <c r="I82" s="83">
        <v>300</v>
      </c>
      <c r="J82" s="83"/>
      <c r="K82" s="171"/>
      <c r="L82" s="119">
        <f t="shared" si="2"/>
        <v>0</v>
      </c>
    </row>
    <row r="83" spans="1:12" ht="16" x14ac:dyDescent="0.2">
      <c r="A83" s="170">
        <v>81</v>
      </c>
      <c r="B83" s="84" t="s">
        <v>729</v>
      </c>
      <c r="C83" s="84">
        <v>322156</v>
      </c>
      <c r="D83" s="83">
        <v>100</v>
      </c>
      <c r="E83" s="83"/>
      <c r="F83" s="83">
        <v>100</v>
      </c>
      <c r="G83" s="83"/>
      <c r="H83" s="83"/>
      <c r="I83" s="83"/>
      <c r="J83" s="83"/>
      <c r="K83" s="171"/>
      <c r="L83" s="119">
        <f t="shared" si="2"/>
        <v>0</v>
      </c>
    </row>
    <row r="84" spans="1:12" ht="16" x14ac:dyDescent="0.2">
      <c r="A84" s="170">
        <v>82</v>
      </c>
      <c r="B84" s="84" t="s">
        <v>517</v>
      </c>
      <c r="C84" s="84">
        <v>322157</v>
      </c>
      <c r="D84" s="83">
        <v>50</v>
      </c>
      <c r="E84" s="83"/>
      <c r="F84" s="83"/>
      <c r="G84" s="83"/>
      <c r="H84" s="83"/>
      <c r="I84" s="83">
        <v>50</v>
      </c>
      <c r="J84" s="83"/>
      <c r="K84" s="171"/>
      <c r="L84" s="119">
        <f t="shared" si="2"/>
        <v>0</v>
      </c>
    </row>
    <row r="85" spans="1:12" ht="16" x14ac:dyDescent="0.2">
      <c r="A85" s="170">
        <v>83</v>
      </c>
      <c r="B85" s="84" t="s">
        <v>793</v>
      </c>
      <c r="C85" s="84">
        <v>322158</v>
      </c>
      <c r="D85" s="83">
        <v>23000</v>
      </c>
      <c r="E85" s="83">
        <v>23000</v>
      </c>
      <c r="F85" s="83"/>
      <c r="G85" s="83"/>
      <c r="H85" s="83"/>
      <c r="I85" s="83"/>
      <c r="J85" s="83"/>
      <c r="K85" s="171"/>
      <c r="L85" s="119">
        <f t="shared" si="2"/>
        <v>0</v>
      </c>
    </row>
    <row r="86" spans="1:12" ht="16" x14ac:dyDescent="0.2">
      <c r="A86" s="170">
        <v>84</v>
      </c>
      <c r="B86" s="84" t="s">
        <v>794</v>
      </c>
      <c r="C86" s="84">
        <v>322159</v>
      </c>
      <c r="D86" s="83">
        <v>100</v>
      </c>
      <c r="E86" s="83">
        <v>100</v>
      </c>
      <c r="F86" s="83"/>
      <c r="G86" s="83"/>
      <c r="H86" s="83"/>
      <c r="I86" s="83"/>
      <c r="J86" s="83"/>
      <c r="K86" s="171"/>
      <c r="L86" s="119">
        <f t="shared" si="2"/>
        <v>0</v>
      </c>
    </row>
    <row r="87" spans="1:12" ht="16" x14ac:dyDescent="0.2">
      <c r="A87" s="170">
        <v>85</v>
      </c>
      <c r="B87" s="84" t="s">
        <v>474</v>
      </c>
      <c r="C87" s="84">
        <v>322160</v>
      </c>
      <c r="D87" s="83">
        <v>400</v>
      </c>
      <c r="E87" s="83">
        <v>400</v>
      </c>
      <c r="F87" s="83"/>
      <c r="G87" s="83"/>
      <c r="H87" s="83"/>
      <c r="I87" s="83"/>
      <c r="J87" s="83"/>
      <c r="K87" s="171"/>
      <c r="L87" s="119">
        <f t="shared" si="2"/>
        <v>0</v>
      </c>
    </row>
    <row r="88" spans="1:12" ht="16" x14ac:dyDescent="0.2">
      <c r="A88" s="170">
        <v>86</v>
      </c>
      <c r="B88" s="84" t="s">
        <v>461</v>
      </c>
      <c r="C88" s="84">
        <v>322161</v>
      </c>
      <c r="D88" s="83">
        <v>50</v>
      </c>
      <c r="E88" s="83"/>
      <c r="F88" s="83">
        <v>50</v>
      </c>
      <c r="G88" s="83"/>
      <c r="H88" s="83"/>
      <c r="I88" s="83"/>
      <c r="J88" s="83"/>
      <c r="K88" s="171"/>
      <c r="L88" s="119">
        <f t="shared" si="2"/>
        <v>0</v>
      </c>
    </row>
    <row r="89" spans="1:12" ht="16" x14ac:dyDescent="0.2">
      <c r="A89" s="170">
        <v>87</v>
      </c>
      <c r="B89" s="84" t="s">
        <v>795</v>
      </c>
      <c r="C89" s="84">
        <v>322162</v>
      </c>
      <c r="D89" s="83">
        <v>100</v>
      </c>
      <c r="E89" s="83"/>
      <c r="F89" s="83">
        <v>100</v>
      </c>
      <c r="G89" s="83"/>
      <c r="H89" s="83"/>
      <c r="I89" s="83"/>
      <c r="J89" s="83"/>
      <c r="K89" s="171"/>
      <c r="L89" s="119">
        <f t="shared" si="2"/>
        <v>0</v>
      </c>
    </row>
    <row r="90" spans="1:12" ht="16" x14ac:dyDescent="0.2">
      <c r="A90" s="170">
        <v>88</v>
      </c>
      <c r="B90" s="84" t="s">
        <v>796</v>
      </c>
      <c r="C90" s="84">
        <v>322163</v>
      </c>
      <c r="D90" s="83">
        <v>100</v>
      </c>
      <c r="E90" s="83">
        <v>100</v>
      </c>
      <c r="F90" s="83"/>
      <c r="G90" s="83"/>
      <c r="H90" s="83"/>
      <c r="I90" s="83"/>
      <c r="J90" s="83"/>
      <c r="K90" s="171"/>
      <c r="L90" s="119">
        <f t="shared" si="2"/>
        <v>0</v>
      </c>
    </row>
    <row r="91" spans="1:12" ht="16" x14ac:dyDescent="0.2">
      <c r="A91" s="170">
        <v>89</v>
      </c>
      <c r="B91" s="84" t="s">
        <v>797</v>
      </c>
      <c r="C91" s="84">
        <v>322164</v>
      </c>
      <c r="D91" s="83">
        <v>20</v>
      </c>
      <c r="E91" s="83">
        <v>20</v>
      </c>
      <c r="F91" s="83"/>
      <c r="G91" s="83"/>
      <c r="H91" s="83"/>
      <c r="I91" s="83"/>
      <c r="J91" s="83"/>
      <c r="K91" s="171"/>
      <c r="L91" s="119">
        <f t="shared" si="2"/>
        <v>0</v>
      </c>
    </row>
    <row r="92" spans="1:12" ht="16" x14ac:dyDescent="0.2">
      <c r="A92" s="170">
        <v>90</v>
      </c>
      <c r="B92" s="84" t="s">
        <v>798</v>
      </c>
      <c r="C92" s="84">
        <v>322165</v>
      </c>
      <c r="D92" s="83">
        <v>14798</v>
      </c>
      <c r="E92" s="83">
        <v>14798</v>
      </c>
      <c r="F92" s="83"/>
      <c r="G92" s="83"/>
      <c r="H92" s="83"/>
      <c r="I92" s="83"/>
      <c r="J92" s="83"/>
      <c r="K92" s="171"/>
      <c r="L92" s="119">
        <f t="shared" si="2"/>
        <v>0</v>
      </c>
    </row>
    <row r="93" spans="1:12" ht="16" x14ac:dyDescent="0.2">
      <c r="A93" s="170">
        <v>91</v>
      </c>
      <c r="B93" s="84" t="s">
        <v>533</v>
      </c>
      <c r="C93" s="84">
        <v>322166</v>
      </c>
      <c r="D93" s="83">
        <v>617</v>
      </c>
      <c r="E93" s="83">
        <v>617</v>
      </c>
      <c r="F93" s="83"/>
      <c r="G93" s="83"/>
      <c r="H93" s="83"/>
      <c r="I93" s="83"/>
      <c r="J93" s="83"/>
      <c r="K93" s="171"/>
      <c r="L93" s="119">
        <f t="shared" si="2"/>
        <v>0</v>
      </c>
    </row>
    <row r="94" spans="1:12" ht="16" x14ac:dyDescent="0.2">
      <c r="A94" s="170">
        <v>92</v>
      </c>
      <c r="B94" s="84" t="s">
        <v>799</v>
      </c>
      <c r="C94" s="84">
        <v>322167</v>
      </c>
      <c r="D94" s="83">
        <v>100</v>
      </c>
      <c r="E94" s="83"/>
      <c r="F94" s="83"/>
      <c r="G94" s="83"/>
      <c r="H94" s="83"/>
      <c r="I94" s="83"/>
      <c r="J94" s="83">
        <v>100</v>
      </c>
      <c r="K94" s="171"/>
      <c r="L94" s="119">
        <f t="shared" si="2"/>
        <v>0</v>
      </c>
    </row>
    <row r="95" spans="1:12" ht="16" x14ac:dyDescent="0.2">
      <c r="A95" s="170">
        <v>93</v>
      </c>
      <c r="B95" s="84" t="s">
        <v>800</v>
      </c>
      <c r="C95" s="84">
        <v>322168</v>
      </c>
      <c r="D95" s="83">
        <v>4000</v>
      </c>
      <c r="E95" s="83">
        <v>4000</v>
      </c>
      <c r="F95" s="83"/>
      <c r="G95" s="83"/>
      <c r="H95" s="83"/>
      <c r="I95" s="83"/>
      <c r="J95" s="83"/>
      <c r="K95" s="171"/>
      <c r="L95" s="119">
        <f t="shared" si="2"/>
        <v>0</v>
      </c>
    </row>
    <row r="96" spans="1:12" ht="16" x14ac:dyDescent="0.2">
      <c r="A96" s="170">
        <v>94</v>
      </c>
      <c r="B96" s="84" t="s">
        <v>589</v>
      </c>
      <c r="C96" s="84">
        <v>322169</v>
      </c>
      <c r="D96" s="83">
        <v>2800</v>
      </c>
      <c r="E96" s="83">
        <v>1400</v>
      </c>
      <c r="F96" s="83">
        <v>1400</v>
      </c>
      <c r="G96" s="83"/>
      <c r="H96" s="83"/>
      <c r="I96" s="83"/>
      <c r="J96" s="83"/>
      <c r="K96" s="171"/>
      <c r="L96" s="119">
        <f t="shared" si="2"/>
        <v>0</v>
      </c>
    </row>
    <row r="97" spans="1:12" ht="16" x14ac:dyDescent="0.2">
      <c r="A97" s="170">
        <v>95</v>
      </c>
      <c r="B97" s="84" t="s">
        <v>801</v>
      </c>
      <c r="C97" s="84">
        <v>322170</v>
      </c>
      <c r="D97" s="83">
        <v>60</v>
      </c>
      <c r="E97" s="83"/>
      <c r="F97" s="83">
        <v>60</v>
      </c>
      <c r="G97" s="83"/>
      <c r="H97" s="83"/>
      <c r="I97" s="83"/>
      <c r="J97" s="83"/>
      <c r="K97" s="171"/>
      <c r="L97" s="119">
        <f t="shared" si="2"/>
        <v>0</v>
      </c>
    </row>
    <row r="98" spans="1:12" ht="16" x14ac:dyDescent="0.2">
      <c r="A98" s="170"/>
      <c r="B98" s="84"/>
      <c r="C98" s="84"/>
      <c r="D98" s="83"/>
      <c r="E98" s="83"/>
      <c r="F98" s="83"/>
      <c r="G98" s="83"/>
      <c r="H98" s="83"/>
      <c r="I98" s="83"/>
      <c r="J98" s="83"/>
      <c r="K98" s="171"/>
      <c r="L98" s="119">
        <f t="shared" si="2"/>
        <v>0</v>
      </c>
    </row>
    <row r="99" spans="1:12" ht="16" x14ac:dyDescent="0.2">
      <c r="A99" s="170"/>
      <c r="B99" s="84"/>
      <c r="C99" s="84"/>
      <c r="D99" s="83"/>
      <c r="E99" s="83"/>
      <c r="F99" s="83"/>
      <c r="G99" s="83"/>
      <c r="H99" s="83"/>
      <c r="I99" s="83"/>
      <c r="J99" s="83"/>
      <c r="K99" s="171"/>
      <c r="L99" s="119">
        <f t="shared" ref="L99:L115" si="3">SUM(E99:K99)-D99</f>
        <v>0</v>
      </c>
    </row>
    <row r="100" spans="1:12" ht="16" x14ac:dyDescent="0.2">
      <c r="A100" s="170"/>
      <c r="B100" s="84"/>
      <c r="C100" s="84"/>
      <c r="D100" s="83"/>
      <c r="E100" s="83"/>
      <c r="F100" s="83"/>
      <c r="G100" s="83"/>
      <c r="H100" s="83"/>
      <c r="I100" s="83"/>
      <c r="J100" s="83"/>
      <c r="K100" s="171">
        <f>SUM(E100:J100)-D100</f>
        <v>0</v>
      </c>
      <c r="L100" s="119">
        <f t="shared" si="3"/>
        <v>0</v>
      </c>
    </row>
    <row r="101" spans="1:12" ht="16" x14ac:dyDescent="0.2">
      <c r="A101" s="172"/>
      <c r="B101" s="173"/>
      <c r="C101" s="174"/>
      <c r="D101" s="174">
        <f t="shared" ref="D101:J101" si="4">SUM(D2:D100)</f>
        <v>207636</v>
      </c>
      <c r="E101" s="174">
        <f t="shared" si="4"/>
        <v>172641</v>
      </c>
      <c r="F101" s="174">
        <f t="shared" si="4"/>
        <v>6910</v>
      </c>
      <c r="G101" s="174">
        <f t="shared" si="4"/>
        <v>760</v>
      </c>
      <c r="H101" s="174">
        <f t="shared" si="4"/>
        <v>20125</v>
      </c>
      <c r="I101" s="174">
        <f t="shared" si="4"/>
        <v>5800</v>
      </c>
      <c r="J101" s="174">
        <f t="shared" si="4"/>
        <v>1300</v>
      </c>
      <c r="K101" s="175">
        <f>D101-SUM(E101:J101)</f>
        <v>100</v>
      </c>
      <c r="L101" s="119">
        <f t="shared" si="3"/>
        <v>0</v>
      </c>
    </row>
    <row r="102" spans="1:12" ht="16" x14ac:dyDescent="0.2">
      <c r="C102" s="87"/>
      <c r="K102" s="119"/>
      <c r="L102" s="119">
        <f t="shared" si="3"/>
        <v>0</v>
      </c>
    </row>
    <row r="103" spans="1:12" ht="16" x14ac:dyDescent="0.2">
      <c r="C103" s="87"/>
      <c r="L103" s="119">
        <f t="shared" si="3"/>
        <v>0</v>
      </c>
    </row>
    <row r="104" spans="1:12" ht="16" x14ac:dyDescent="0.2">
      <c r="B104" s="92" t="s">
        <v>130</v>
      </c>
      <c r="C104" s="93"/>
      <c r="L104" s="119">
        <f t="shared" si="3"/>
        <v>0</v>
      </c>
    </row>
    <row r="105" spans="1:12" ht="16" x14ac:dyDescent="0.2">
      <c r="B105" s="94" t="s">
        <v>131</v>
      </c>
      <c r="C105" s="95"/>
      <c r="L105" s="119">
        <f t="shared" si="3"/>
        <v>0</v>
      </c>
    </row>
    <row r="106" spans="1:12" ht="16" x14ac:dyDescent="0.2">
      <c r="B106" s="94" t="s">
        <v>4</v>
      </c>
      <c r="C106" s="96">
        <f>E101</f>
        <v>172641</v>
      </c>
      <c r="L106" s="119">
        <f t="shared" si="3"/>
        <v>0</v>
      </c>
    </row>
    <row r="107" spans="1:12" ht="16" x14ac:dyDescent="0.2">
      <c r="B107" s="94" t="s">
        <v>132</v>
      </c>
      <c r="C107" s="97">
        <f>F101/2</f>
        <v>3455</v>
      </c>
      <c r="L107" s="119">
        <f t="shared" si="3"/>
        <v>0</v>
      </c>
    </row>
    <row r="108" spans="1:12" ht="16" x14ac:dyDescent="0.2">
      <c r="B108" s="94" t="s">
        <v>133</v>
      </c>
      <c r="C108" s="96">
        <f>G101</f>
        <v>760</v>
      </c>
      <c r="L108" s="119">
        <f t="shared" si="3"/>
        <v>0</v>
      </c>
    </row>
    <row r="109" spans="1:12" ht="16" x14ac:dyDescent="0.2">
      <c r="B109" s="94" t="s">
        <v>6</v>
      </c>
      <c r="C109" s="97">
        <f>J101/2</f>
        <v>650</v>
      </c>
      <c r="L109" s="119">
        <f t="shared" si="3"/>
        <v>0</v>
      </c>
    </row>
    <row r="110" spans="1:12" ht="16" x14ac:dyDescent="0.2">
      <c r="B110" s="94" t="s">
        <v>134</v>
      </c>
      <c r="C110" s="96">
        <v>0</v>
      </c>
      <c r="L110" s="119">
        <f t="shared" si="3"/>
        <v>0</v>
      </c>
    </row>
    <row r="111" spans="1:12" ht="16" x14ac:dyDescent="0.2">
      <c r="B111" s="94" t="s">
        <v>135</v>
      </c>
      <c r="C111" s="96"/>
      <c r="L111" s="119">
        <f t="shared" si="3"/>
        <v>0</v>
      </c>
    </row>
    <row r="112" spans="1:12" ht="16" x14ac:dyDescent="0.2">
      <c r="B112" s="98" t="s">
        <v>3</v>
      </c>
      <c r="C112" s="99">
        <f>SUM(C106:C111)</f>
        <v>177506</v>
      </c>
      <c r="L112" s="119">
        <f t="shared" si="3"/>
        <v>0</v>
      </c>
    </row>
    <row r="113" spans="2:12" ht="16" x14ac:dyDescent="0.2">
      <c r="B113" s="100"/>
      <c r="C113" s="101"/>
      <c r="L113" s="119">
        <f t="shared" si="3"/>
        <v>0</v>
      </c>
    </row>
    <row r="114" spans="2:12" ht="16" x14ac:dyDescent="0.2">
      <c r="B114" s="92" t="s">
        <v>136</v>
      </c>
      <c r="C114" s="93"/>
      <c r="L114" s="119">
        <f t="shared" si="3"/>
        <v>0</v>
      </c>
    </row>
    <row r="115" spans="2:12" ht="16" x14ac:dyDescent="0.2">
      <c r="B115" s="94" t="s">
        <v>132</v>
      </c>
      <c r="C115" s="97">
        <f>F101/2</f>
        <v>3455</v>
      </c>
      <c r="L115" s="119">
        <f t="shared" si="3"/>
        <v>0</v>
      </c>
    </row>
    <row r="116" spans="2:12" ht="16" x14ac:dyDescent="0.2">
      <c r="B116" s="94" t="s">
        <v>6</v>
      </c>
      <c r="C116" s="97">
        <f>J101/2</f>
        <v>650</v>
      </c>
    </row>
    <row r="117" spans="2:12" ht="16" x14ac:dyDescent="0.2">
      <c r="B117" s="94" t="s">
        <v>138</v>
      </c>
      <c r="C117" s="96">
        <v>0</v>
      </c>
    </row>
    <row r="118" spans="2:12" ht="16" x14ac:dyDescent="0.2">
      <c r="B118" s="94" t="s">
        <v>545</v>
      </c>
      <c r="C118" s="96">
        <f>H101</f>
        <v>20125</v>
      </c>
    </row>
    <row r="119" spans="2:12" ht="16" x14ac:dyDescent="0.2">
      <c r="B119" s="94" t="s">
        <v>141</v>
      </c>
      <c r="C119" s="96">
        <f>I101</f>
        <v>5800</v>
      </c>
    </row>
    <row r="120" spans="2:12" ht="16" x14ac:dyDescent="0.2">
      <c r="B120" s="94" t="s">
        <v>15</v>
      </c>
      <c r="C120" s="96">
        <v>100</v>
      </c>
    </row>
    <row r="121" spans="2:12" ht="16" x14ac:dyDescent="0.2">
      <c r="B121" s="102"/>
      <c r="C121" s="103">
        <v>0</v>
      </c>
    </row>
    <row r="122" spans="2:12" ht="16" x14ac:dyDescent="0.2">
      <c r="B122" s="102"/>
      <c r="C122" s="103"/>
    </row>
    <row r="123" spans="2:12" ht="16" x14ac:dyDescent="0.2">
      <c r="B123" s="98" t="s">
        <v>3</v>
      </c>
      <c r="C123" s="104">
        <f>SUM(C115:C121)</f>
        <v>30130</v>
      </c>
    </row>
  </sheetData>
  <mergeCells count="1">
    <mergeCell ref="A1:K1"/>
  </mergeCells>
  <pageMargins left="0.7" right="0.7" top="0.75" bottom="0.75" header="0.3" footer="0.3"/>
  <pageSetup paperSize="9" scale="57" fitToHeight="4" orientation="landscape" horizontalDpi="300" verticalDpi="300" copies="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G8:H16"/>
  <sheetViews>
    <sheetView topLeftCell="A2" zoomScale="120" zoomScaleNormal="120" workbookViewId="0">
      <selection activeCell="L15" sqref="L15"/>
    </sheetView>
  </sheetViews>
  <sheetFormatPr baseColWidth="10" defaultColWidth="8.6640625" defaultRowHeight="15" x14ac:dyDescent="0.2"/>
  <cols>
    <col min="7" max="7" width="21.6640625" bestFit="1" customWidth="1"/>
    <col min="8" max="8" width="12.33203125" bestFit="1" customWidth="1"/>
  </cols>
  <sheetData>
    <row r="8" spans="7:8" x14ac:dyDescent="0.2">
      <c r="G8" s="189" t="s">
        <v>802</v>
      </c>
      <c r="H8" s="189"/>
    </row>
    <row r="9" spans="7:8" x14ac:dyDescent="0.2">
      <c r="G9" s="33" t="s">
        <v>145</v>
      </c>
      <c r="H9" s="33" t="s">
        <v>146</v>
      </c>
    </row>
    <row r="10" spans="7:8" x14ac:dyDescent="0.2">
      <c r="G10" s="34">
        <v>45402</v>
      </c>
      <c r="H10" s="35">
        <v>61750</v>
      </c>
    </row>
    <row r="11" spans="7:8" x14ac:dyDescent="0.2">
      <c r="G11" s="34">
        <v>45395</v>
      </c>
      <c r="H11" s="35">
        <v>44350</v>
      </c>
    </row>
    <row r="12" spans="7:8" x14ac:dyDescent="0.2">
      <c r="G12" s="34">
        <v>45388</v>
      </c>
      <c r="H12" s="35">
        <v>34600</v>
      </c>
    </row>
    <row r="13" spans="7:8" x14ac:dyDescent="0.2">
      <c r="G13" s="39" t="s">
        <v>19</v>
      </c>
      <c r="H13" s="36">
        <f>SUM(H10:H12)</f>
        <v>140700</v>
      </c>
    </row>
    <row r="14" spans="7:8" x14ac:dyDescent="0.2">
      <c r="G14" s="37" t="s">
        <v>803</v>
      </c>
      <c r="H14" s="35">
        <v>73000</v>
      </c>
    </row>
    <row r="15" spans="7:8" x14ac:dyDescent="0.2">
      <c r="G15" s="33"/>
      <c r="H15" s="33"/>
    </row>
    <row r="16" spans="7:8" ht="18" x14ac:dyDescent="0.2">
      <c r="G16" s="37" t="s">
        <v>804</v>
      </c>
      <c r="H16" s="38">
        <f>H13-H14</f>
        <v>67700</v>
      </c>
    </row>
  </sheetData>
  <mergeCells count="1">
    <mergeCell ref="G8:H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82" t="s">
        <v>143</v>
      </c>
      <c r="D2" s="182"/>
      <c r="E2" s="182"/>
    </row>
    <row r="3" spans="3:5" x14ac:dyDescent="0.2">
      <c r="C3" s="2" t="s">
        <v>144</v>
      </c>
      <c r="D3" s="2" t="s">
        <v>145</v>
      </c>
      <c r="E3" s="2" t="s">
        <v>146</v>
      </c>
    </row>
    <row r="4" spans="3:5" x14ac:dyDescent="0.2">
      <c r="C4" s="44" t="s">
        <v>805</v>
      </c>
      <c r="D4" s="43">
        <v>45010</v>
      </c>
      <c r="E4" s="9">
        <v>1500</v>
      </c>
    </row>
    <row r="5" spans="3:5" x14ac:dyDescent="0.2">
      <c r="C5" s="44" t="s">
        <v>806</v>
      </c>
      <c r="D5" s="43">
        <v>45010</v>
      </c>
      <c r="E5" s="9">
        <v>4500</v>
      </c>
    </row>
    <row r="6" spans="3:5" x14ac:dyDescent="0.2">
      <c r="C6" s="44"/>
      <c r="D6" s="44"/>
      <c r="E6" s="9"/>
    </row>
    <row r="7" spans="3:5" x14ac:dyDescent="0.2">
      <c r="C7" s="44"/>
      <c r="D7" s="44"/>
      <c r="E7" s="9"/>
    </row>
    <row r="8" spans="3:5" x14ac:dyDescent="0.2">
      <c r="C8" s="44"/>
      <c r="D8" s="44"/>
      <c r="E8" s="9"/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152</v>
      </c>
      <c r="D21" s="2"/>
      <c r="E21" s="9">
        <f>SUM(E4:E20)</f>
        <v>6000</v>
      </c>
    </row>
  </sheetData>
  <mergeCells count="1">
    <mergeCell ref="C2:E2"/>
  </mergeCells>
  <pageMargins left="0.7" right="0.7" top="0.75" bottom="0.75" header="0.511811023622047" footer="0.5118110236220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35f1cb-0131-4512-be3c-ecf28089e9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88C08EA00054DBAE2359CFE666181" ma:contentTypeVersion="13" ma:contentTypeDescription="Create a new document." ma:contentTypeScope="" ma:versionID="8c2f10decbf550d34d8dc59f01efc786">
  <xsd:schema xmlns:xsd="http://www.w3.org/2001/XMLSchema" xmlns:xs="http://www.w3.org/2001/XMLSchema" xmlns:p="http://schemas.microsoft.com/office/2006/metadata/properties" xmlns:ns3="8a35f1cb-0131-4512-be3c-ecf28089e959" xmlns:ns4="cf704824-8b6b-4d3c-b7b8-83e18488b4b0" targetNamespace="http://schemas.microsoft.com/office/2006/metadata/properties" ma:root="true" ma:fieldsID="29459a6fc9f1377b70897304ad882a2c" ns3:_="" ns4:_="">
    <xsd:import namespace="8a35f1cb-0131-4512-be3c-ecf28089e959"/>
    <xsd:import namespace="cf704824-8b6b-4d3c-b7b8-83e18488b4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5f1cb-0131-4512-be3c-ecf28089e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4824-8b6b-4d3c-b7b8-83e18488b4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3339F-D757-4C26-B7B6-E947332AF7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E5D1D6-7731-41EC-B0F8-B6FD822B49D9}">
  <ds:schemaRefs>
    <ds:schemaRef ds:uri="http://schemas.microsoft.com/office/2006/metadata/properties"/>
    <ds:schemaRef ds:uri="http://schemas.microsoft.com/office/infopath/2007/PartnerControls"/>
    <ds:schemaRef ds:uri="8a35f1cb-0131-4512-be3c-ecf28089e959"/>
  </ds:schemaRefs>
</ds:datastoreItem>
</file>

<file path=customXml/itemProps3.xml><?xml version="1.0" encoding="utf-8"?>
<ds:datastoreItem xmlns:ds="http://schemas.openxmlformats.org/officeDocument/2006/customXml" ds:itemID="{12F3DE46-E566-4693-AF4D-12A6E4E0A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5f1cb-0131-4512-be3c-ecf28089e959"/>
    <ds:schemaRef ds:uri="cf704824-8b6b-4d3c-b7b8-83e18488b4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OFFERING SUMMARY</vt:lpstr>
      <vt:lpstr>4TH MARCH 2023</vt:lpstr>
      <vt:lpstr>4TH-EXPENSES</vt:lpstr>
      <vt:lpstr>11TH MARCH 2023</vt:lpstr>
      <vt:lpstr>11TH-EXPENSES</vt:lpstr>
      <vt:lpstr>18TH MARCH 2023</vt:lpstr>
      <vt:lpstr>18TH-EXPENSES</vt:lpstr>
      <vt:lpstr>25TH MARCH 2023</vt:lpstr>
      <vt:lpstr>SABBATH 1</vt:lpstr>
      <vt:lpstr>SABBATH 2</vt:lpstr>
      <vt:lpstr>SABBAATH 3</vt:lpstr>
      <vt:lpstr>SABBATH 4</vt:lpstr>
      <vt:lpstr>Sheet2</vt:lpstr>
      <vt:lpstr>25TH-EXPENSES</vt:lpstr>
      <vt:lpstr>'SABBAATH 3'!Print_Titles</vt:lpstr>
      <vt:lpstr>'SABBATH 1'!Print_Titles</vt:lpstr>
      <vt:lpstr>'SABBATH 2'!Print_Titles</vt:lpstr>
      <vt:lpstr>'SABBATH 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Microsoft Office User</cp:lastModifiedBy>
  <cp:revision/>
  <dcterms:created xsi:type="dcterms:W3CDTF">2022-07-17T14:14:52Z</dcterms:created>
  <dcterms:modified xsi:type="dcterms:W3CDTF">2026-06-15T13:17:41Z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0x01010069A88C08EA00054DBAE2359CFE666181</vt:lpwstr>
  </property>
  <property fmtid="{D5CDD505-2E9C-101B-9397-08002B2CF9AE}" pid="3" name="ICV">
    <vt:lpwstr>af006cbace40456f87db0cd6bb2082fd</vt:lpwstr>
  </property>
</Properties>
</file>